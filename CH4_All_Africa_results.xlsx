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biodiversitydecisions-my.sharepoint.com/personal/diegojuffe_biodecisions_org/Documents/1_Projects/0_PhD/9_PhD_full_thesis/Full Results Chapter 4_Juffe-Bignoli (2025)/"/>
    </mc:Choice>
  </mc:AlternateContent>
  <xr:revisionPtr revIDLastSave="25" documentId="8_{A2EA485B-5D79-47A4-8B08-4EABAF42ED13}" xr6:coauthVersionLast="47" xr6:coauthVersionMax="47" xr10:uidLastSave="{5DAC20E4-C9A4-4441-AA2C-40874E370BAA}"/>
  <bookViews>
    <workbookView xWindow="-28920" yWindow="-120" windowWidth="29040" windowHeight="15720" activeTab="5" xr2:uid="{00000000-000D-0000-FFFF-FFFF00000000}"/>
  </bookViews>
  <sheets>
    <sheet name="COUNTRY_project_PIIwide_md15k_s" sheetId="6" r:id="rId1"/>
    <sheet name="COUNTRY_corridors_PIIwide_md15k" sheetId="4" r:id="rId2"/>
    <sheet name="Results_countries" sheetId="5" r:id="rId3"/>
    <sheet name="Proj_lines_inPCAs" sheetId="2" r:id="rId4"/>
    <sheet name="Proj_lines_inKBA" sheetId="3" r:id="rId5"/>
    <sheet name="GIS_Results_PCAs_KBAs" sheetId="1" r:id="rId6"/>
    <sheet name="PCAs_PII__means" sheetId="7" r:id="rId7"/>
    <sheet name="KBAs_PII_means" sheetId="8" r:id="rId8"/>
  </sheets>
  <definedNames>
    <definedName name="_xlnm._FilterDatabase" localSheetId="1" hidden="1">COUNTRY_corridors_PIIwide_md15k!$A$1:$EY$49</definedName>
    <definedName name="_xlnm._FilterDatabase" localSheetId="0" hidden="1">COUNTRY_project_PIIwide_md15k_s!$A$1:$JC$50</definedName>
    <definedName name="_xlnm._FilterDatabase" localSheetId="3" hidden="1">Proj_lines_inPCAs!$A$1:$AD$698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C49" i="6" l="1"/>
  <c r="JC48" i="6"/>
  <c r="JC47" i="6"/>
  <c r="JC46" i="6"/>
  <c r="JC45" i="6"/>
  <c r="JC44" i="6"/>
  <c r="JC43" i="6"/>
  <c r="JC42" i="6"/>
  <c r="JC41" i="6"/>
  <c r="JC40" i="6"/>
  <c r="JC39" i="6"/>
  <c r="JC38" i="6"/>
  <c r="JC37" i="6"/>
  <c r="JC36" i="6"/>
  <c r="JC35" i="6"/>
  <c r="JC34" i="6"/>
  <c r="JC33" i="6"/>
  <c r="JC32" i="6"/>
  <c r="JC31" i="6"/>
  <c r="JC30" i="6"/>
  <c r="JC29" i="6"/>
  <c r="JC28" i="6"/>
  <c r="JC27" i="6"/>
  <c r="JC26" i="6"/>
  <c r="JC25" i="6"/>
  <c r="JC24" i="6"/>
  <c r="JC23" i="6"/>
  <c r="JC22" i="6"/>
  <c r="JC21" i="6"/>
  <c r="JC20" i="6"/>
  <c r="JC19" i="6"/>
  <c r="JC18" i="6"/>
  <c r="JC17" i="6"/>
  <c r="JC16" i="6"/>
  <c r="JC15" i="6"/>
  <c r="JC14" i="6"/>
  <c r="JC13" i="6"/>
  <c r="JC12" i="6"/>
  <c r="JC11" i="6"/>
  <c r="JC10" i="6"/>
  <c r="JC9" i="6"/>
  <c r="JC8" i="6"/>
  <c r="JC7" i="6"/>
  <c r="JC6" i="6"/>
  <c r="JC5" i="6"/>
  <c r="JC4" i="6"/>
  <c r="JC3" i="6"/>
  <c r="JC2" i="6"/>
  <c r="JC50" i="6" s="1"/>
  <c r="EX50" i="4" l="1"/>
  <c r="EW50" i="4"/>
  <c r="EV50" i="4"/>
  <c r="EU50" i="4"/>
  <c r="ET50" i="4"/>
  <c r="ES50" i="4"/>
  <c r="ER50" i="4"/>
  <c r="EQ50" i="4"/>
  <c r="EP50" i="4"/>
  <c r="EO50" i="4"/>
  <c r="EN50" i="4"/>
  <c r="EM50" i="4"/>
  <c r="EL50" i="4"/>
  <c r="EK50" i="4"/>
  <c r="EJ50" i="4"/>
  <c r="EI50" i="4"/>
  <c r="EH50" i="4"/>
  <c r="EG50" i="4"/>
  <c r="EF50" i="4"/>
  <c r="EE50" i="4"/>
  <c r="ED50" i="4"/>
  <c r="EC50" i="4"/>
  <c r="EB50" i="4"/>
  <c r="EA50" i="4"/>
  <c r="DZ50" i="4"/>
  <c r="DY50" i="4"/>
  <c r="DX50" i="4"/>
  <c r="DW50" i="4"/>
  <c r="DV50" i="4"/>
  <c r="DU50" i="4"/>
  <c r="DT50" i="4"/>
  <c r="DS50" i="4"/>
  <c r="DR50" i="4"/>
  <c r="DQ50" i="4"/>
  <c r="DP50" i="4"/>
  <c r="DO50" i="4"/>
  <c r="DN50" i="4"/>
  <c r="DM50" i="4"/>
  <c r="DL50" i="4"/>
  <c r="DK50" i="4"/>
  <c r="DJ50" i="4"/>
  <c r="DI50" i="4"/>
  <c r="DH50" i="4"/>
  <c r="DG50" i="4"/>
  <c r="DF50" i="4"/>
  <c r="DE50" i="4"/>
  <c r="DD50" i="4"/>
  <c r="DC50" i="4"/>
  <c r="DB50" i="4"/>
  <c r="DA50" i="4"/>
  <c r="CZ50" i="4"/>
  <c r="CY50" i="4"/>
  <c r="CX50" i="4"/>
  <c r="CW50" i="4"/>
  <c r="CV50" i="4"/>
  <c r="CU50" i="4"/>
  <c r="CT50" i="4"/>
  <c r="CS50" i="4"/>
  <c r="CR50" i="4"/>
  <c r="CQ50" i="4"/>
  <c r="CP50" i="4"/>
  <c r="CO50" i="4"/>
  <c r="CN50" i="4"/>
  <c r="CM50" i="4"/>
  <c r="CL50" i="4"/>
  <c r="CK50" i="4"/>
  <c r="CJ50" i="4"/>
  <c r="CI50" i="4"/>
  <c r="CH50" i="4"/>
  <c r="CG50" i="4"/>
  <c r="CF50" i="4"/>
  <c r="CE50" i="4"/>
  <c r="CD50" i="4"/>
  <c r="CC50" i="4"/>
  <c r="CB50" i="4"/>
  <c r="CA50" i="4"/>
  <c r="BZ50" i="4"/>
  <c r="BY50" i="4"/>
  <c r="BX50" i="4"/>
  <c r="BW50" i="4"/>
  <c r="BV50" i="4"/>
  <c r="BU50" i="4"/>
  <c r="BT50" i="4"/>
  <c r="BS50" i="4"/>
  <c r="BR50" i="4"/>
  <c r="BQ50" i="4"/>
  <c r="BP50" i="4"/>
  <c r="BO50" i="4"/>
  <c r="BN50" i="4"/>
  <c r="BM50" i="4"/>
  <c r="BL50" i="4"/>
  <c r="BK50" i="4"/>
  <c r="BJ50" i="4"/>
  <c r="BI50" i="4"/>
  <c r="BH50" i="4"/>
  <c r="BG50" i="4"/>
  <c r="BF50" i="4"/>
  <c r="BE50" i="4"/>
  <c r="BD50" i="4"/>
  <c r="BC50" i="4"/>
  <c r="BB50" i="4"/>
  <c r="BA50" i="4"/>
  <c r="AZ50" i="4"/>
  <c r="AY50" i="4"/>
  <c r="AX50" i="4"/>
  <c r="AW50" i="4"/>
  <c r="AV50" i="4"/>
  <c r="AU50" i="4"/>
  <c r="AT50" i="4"/>
  <c r="AS50" i="4"/>
  <c r="AR50" i="4"/>
  <c r="AQ50" i="4"/>
  <c r="AP50" i="4"/>
  <c r="AO50" i="4"/>
  <c r="AN50" i="4"/>
  <c r="AM50" i="4"/>
  <c r="AL50" i="4"/>
  <c r="AK50" i="4"/>
  <c r="AJ50" i="4"/>
  <c r="AI50" i="4"/>
  <c r="AH50" i="4"/>
  <c r="AG50" i="4"/>
  <c r="AF50" i="4"/>
  <c r="AE50" i="4"/>
  <c r="AD50" i="4"/>
  <c r="AC50" i="4"/>
  <c r="AB50" i="4"/>
  <c r="AA50" i="4"/>
  <c r="Z50" i="4"/>
  <c r="Y50" i="4"/>
  <c r="X50" i="4"/>
  <c r="W50" i="4"/>
  <c r="V50" i="4"/>
  <c r="U50" i="4"/>
  <c r="T50" i="4"/>
  <c r="S50" i="4"/>
  <c r="R50" i="4"/>
  <c r="Q50" i="4"/>
  <c r="P50" i="4"/>
  <c r="O50" i="4"/>
  <c r="N50" i="4"/>
  <c r="M50" i="4"/>
  <c r="L50" i="4"/>
  <c r="K50" i="4"/>
  <c r="J50" i="4"/>
  <c r="I50" i="4"/>
  <c r="H50" i="4"/>
  <c r="G50" i="4"/>
  <c r="F50" i="4"/>
  <c r="E50" i="4"/>
  <c r="D50" i="4"/>
  <c r="C50" i="4"/>
  <c r="B50" i="4"/>
  <c r="EY49" i="4"/>
  <c r="EY48" i="4"/>
  <c r="EY47" i="4"/>
  <c r="EY46" i="4"/>
  <c r="EY45" i="4"/>
  <c r="EY44" i="4"/>
  <c r="EY43" i="4"/>
  <c r="EY42" i="4"/>
  <c r="EY41" i="4"/>
  <c r="EY40" i="4"/>
  <c r="EY39" i="4"/>
  <c r="EY38" i="4"/>
  <c r="EY37" i="4"/>
  <c r="EY36" i="4"/>
  <c r="EY35" i="4"/>
  <c r="EY34" i="4"/>
  <c r="EY33" i="4"/>
  <c r="EY32" i="4"/>
  <c r="EY31" i="4"/>
  <c r="EY30" i="4"/>
  <c r="EY29" i="4"/>
  <c r="EY28" i="4"/>
  <c r="EY27" i="4"/>
  <c r="EY26" i="4"/>
  <c r="EY25" i="4"/>
  <c r="EY24" i="4"/>
  <c r="EY23" i="4"/>
  <c r="EY22" i="4"/>
  <c r="EY21" i="4"/>
  <c r="EY20" i="4"/>
  <c r="EY19" i="4"/>
  <c r="EY18" i="4"/>
  <c r="EY17" i="4"/>
  <c r="EY16" i="4"/>
  <c r="EY15" i="4"/>
  <c r="EY14" i="4"/>
  <c r="EY13" i="4"/>
  <c r="EY12" i="4"/>
  <c r="EY11" i="4"/>
  <c r="EY10" i="4"/>
  <c r="EY9" i="4"/>
  <c r="EY8" i="4"/>
  <c r="EY7" i="4"/>
  <c r="EY6" i="4"/>
  <c r="EY5" i="4"/>
  <c r="EY4" i="4"/>
  <c r="EY3" i="4"/>
  <c r="EY2" i="4"/>
  <c r="B15" i="1"/>
  <c r="B16" i="1"/>
  <c r="C13" i="1"/>
  <c r="C14" i="1"/>
  <c r="C12" i="1"/>
  <c r="C11" i="1"/>
  <c r="C9" i="1"/>
  <c r="C10" i="1"/>
  <c r="C7" i="1"/>
  <c r="B10" i="1"/>
  <c r="C8" i="1" s="1"/>
  <c r="C5" i="1"/>
  <c r="C4" i="1"/>
</calcChain>
</file>

<file path=xl/sharedStrings.xml><?xml version="1.0" encoding="utf-8"?>
<sst xmlns="http://schemas.openxmlformats.org/spreadsheetml/2006/main" count="15203" uniqueCount="2134">
  <si>
    <t>Value</t>
  </si>
  <si>
    <t>%</t>
  </si>
  <si>
    <t>Description</t>
  </si>
  <si>
    <t>Of C.Africa</t>
  </si>
  <si>
    <t>Of all PCAs in C.Africa</t>
  </si>
  <si>
    <t>Of all KBAs in C.Africa</t>
  </si>
  <si>
    <t>WDPAID</t>
  </si>
  <si>
    <t>WDPA_PID</t>
  </si>
  <si>
    <t>PA_DEF</t>
  </si>
  <si>
    <t>NAME</t>
  </si>
  <si>
    <t>ORIG_NAME</t>
  </si>
  <si>
    <t>DESIG</t>
  </si>
  <si>
    <t>DESIG_ENG</t>
  </si>
  <si>
    <t>DESIG_TYPE</t>
  </si>
  <si>
    <t>IUCN_CAT</t>
  </si>
  <si>
    <t>INT_CRIT</t>
  </si>
  <si>
    <t>MARINE</t>
  </si>
  <si>
    <t>REP_M_AREA</t>
  </si>
  <si>
    <t>GIS_M_AREA</t>
  </si>
  <si>
    <t>REP_AREA</t>
  </si>
  <si>
    <t>GIS_AREA</t>
  </si>
  <si>
    <t>NO_TAKE</t>
  </si>
  <si>
    <t>NO_TK_AREA</t>
  </si>
  <si>
    <t>STATUS</t>
  </si>
  <si>
    <t>STATUS_YR</t>
  </si>
  <si>
    <t>GOV_TYPE</t>
  </si>
  <si>
    <t>OWN_TYPE</t>
  </si>
  <si>
    <t>MANG_AUTH</t>
  </si>
  <si>
    <t>MANG_PLAN</t>
  </si>
  <si>
    <t>CONS_OBJ</t>
  </si>
  <si>
    <t>SUPP_INFO</t>
  </si>
  <si>
    <t>VERIF</t>
  </si>
  <si>
    <t>METADATAID</t>
  </si>
  <si>
    <t>SUB_LOC</t>
  </si>
  <si>
    <t>PARENT_ISO3</t>
  </si>
  <si>
    <t>ISO3</t>
  </si>
  <si>
    <t>El-Showela</t>
  </si>
  <si>
    <t>الشويلة</t>
  </si>
  <si>
    <t>Protected Area</t>
  </si>
  <si>
    <t>National</t>
  </si>
  <si>
    <t>Not Reported</t>
  </si>
  <si>
    <t>Not Applicable</t>
  </si>
  <si>
    <t>Proposed</t>
  </si>
  <si>
    <t>State Verified</t>
  </si>
  <si>
    <t>EGY</t>
  </si>
  <si>
    <t>Ras El-Hekma</t>
  </si>
  <si>
    <t>رأس الحكمة</t>
  </si>
  <si>
    <t>Djona</t>
  </si>
  <si>
    <t>Hunting Zone</t>
  </si>
  <si>
    <t>VI</t>
  </si>
  <si>
    <t>Designated</t>
  </si>
  <si>
    <t>State</t>
  </si>
  <si>
    <t>BJ-AL</t>
  </si>
  <si>
    <t>BEN</t>
  </si>
  <si>
    <t>Tchaourou</t>
  </si>
  <si>
    <t>Classified Forest</t>
  </si>
  <si>
    <t>BJ-BO</t>
  </si>
  <si>
    <t>Gougoun</t>
  </si>
  <si>
    <t>Ouémé Superieur</t>
  </si>
  <si>
    <t>Atchérigbé</t>
  </si>
  <si>
    <t>BJ-DO</t>
  </si>
  <si>
    <t>Kor Kor and Dongol</t>
  </si>
  <si>
    <t>كركر ودنجل</t>
  </si>
  <si>
    <t>Djalélo</t>
  </si>
  <si>
    <t>Aire terrestre protégée</t>
  </si>
  <si>
    <t>Terrestrial protected area</t>
  </si>
  <si>
    <t>Federal or national ministry or agency</t>
  </si>
  <si>
    <t>MHUEAT/DATE</t>
  </si>
  <si>
    <t>Not Existing</t>
  </si>
  <si>
    <t>DJI</t>
  </si>
  <si>
    <t>El Omayed</t>
  </si>
  <si>
    <t>محمية العميد</t>
  </si>
  <si>
    <t>محمية إدارة موارد طبيعية</t>
  </si>
  <si>
    <t>Nature Conservation Reserve</t>
  </si>
  <si>
    <t>IV</t>
  </si>
  <si>
    <t>Egyptian Environmental Affairs Agency (EEAA)</t>
  </si>
  <si>
    <t>EG-MT</t>
  </si>
  <si>
    <t>El-Salum</t>
  </si>
  <si>
    <t>Marine Protected Area</t>
  </si>
  <si>
    <t>Omayed</t>
  </si>
  <si>
    <t>محمية محيط حيوي</t>
  </si>
  <si>
    <t>UNESCO-MAB Biosphere Reserve</t>
  </si>
  <si>
    <t>International</t>
  </si>
  <si>
    <t>Jaldesa Community Conservancy</t>
  </si>
  <si>
    <t>Community Nature Reserve</t>
  </si>
  <si>
    <t>Indigenous peoples</t>
  </si>
  <si>
    <t>Community</t>
  </si>
  <si>
    <t>KEN</t>
  </si>
  <si>
    <t>Meibae Community Conservancy</t>
  </si>
  <si>
    <t>Melako Community Conservancy</t>
  </si>
  <si>
    <t>Namunyak Wildlife Conservation Trust</t>
  </si>
  <si>
    <t>Ruko Community Widlife Conservancy</t>
  </si>
  <si>
    <t>Songa Community Conservancy</t>
  </si>
  <si>
    <t>Solio Ranch and Rhino Sanctuary</t>
  </si>
  <si>
    <t>Solio Ranch</t>
  </si>
  <si>
    <t>Private Ranch</t>
  </si>
  <si>
    <t>Non-profit organisations</t>
  </si>
  <si>
    <t>KE-700</t>
  </si>
  <si>
    <t>Ol Pejeta</t>
  </si>
  <si>
    <t>Community Conservancy</t>
  </si>
  <si>
    <t>Mugie</t>
  </si>
  <si>
    <t>Foret de Goudiri</t>
  </si>
  <si>
    <t>Forest Reserve</t>
  </si>
  <si>
    <t>SN-TC</t>
  </si>
  <si>
    <t>SEN</t>
  </si>
  <si>
    <t>Foret de Bala- Est</t>
  </si>
  <si>
    <t>Foret des Paniates</t>
  </si>
  <si>
    <t>Foret de Malem Niani</t>
  </si>
  <si>
    <t>Foret de Malem-Hodar</t>
  </si>
  <si>
    <t>SN-KL</t>
  </si>
  <si>
    <t>Foret de Bala- Ouest</t>
  </si>
  <si>
    <t>Foret de Maka Yop-ouest</t>
  </si>
  <si>
    <t>Foret de Maka Yop-est</t>
  </si>
  <si>
    <t>Foret du Ouli</t>
  </si>
  <si>
    <t>Foret de Botou</t>
  </si>
  <si>
    <t>Sudd</t>
  </si>
  <si>
    <t>Ramsar Site, Wetland of International Importance</t>
  </si>
  <si>
    <t>(i)(ii)(iii)(iv)(v)(vi)(vii)(viii)</t>
  </si>
  <si>
    <t>South Sudan National Wildlife Service (SSWS)</t>
  </si>
  <si>
    <t>Management Plan is ImplentedNot Available</t>
  </si>
  <si>
    <t>SS-4</t>
  </si>
  <si>
    <t>SSD</t>
  </si>
  <si>
    <t>Southern</t>
  </si>
  <si>
    <t>National Park</t>
  </si>
  <si>
    <t>II</t>
  </si>
  <si>
    <t>SS-3</t>
  </si>
  <si>
    <t>Juba</t>
  </si>
  <si>
    <t>Game Reserve</t>
  </si>
  <si>
    <t>SS-1</t>
  </si>
  <si>
    <t>Al Gounna</t>
  </si>
  <si>
    <t>Nature Reserve</t>
  </si>
  <si>
    <t>Not Assigned</t>
  </si>
  <si>
    <t>Ministère de l’Agriculture des ressources hydrauliques et de la pêche</t>
  </si>
  <si>
    <t>TUN</t>
  </si>
  <si>
    <t>Boukornine</t>
  </si>
  <si>
    <t>TN-21</t>
  </si>
  <si>
    <t>Sebkhet Sejoumi</t>
  </si>
  <si>
    <t>Wetland Zone of National Importance</t>
  </si>
  <si>
    <t>Barrage Sidi El Barrak</t>
  </si>
  <si>
    <t>(vii)(viii)</t>
  </si>
  <si>
    <t>(i)(ii)(iii)(iv)(v)(vi)</t>
  </si>
  <si>
    <t>Nabukolyo</t>
  </si>
  <si>
    <t>UGA</t>
  </si>
  <si>
    <t>Walugogo</t>
  </si>
  <si>
    <t>Namafuma</t>
  </si>
  <si>
    <t>West Bugwe</t>
  </si>
  <si>
    <t>Sitambogo</t>
  </si>
  <si>
    <t>Bounou</t>
  </si>
  <si>
    <t>Forêt Classée du Bounou</t>
  </si>
  <si>
    <t>Forêt Classée</t>
  </si>
  <si>
    <t>Direction Générale des Eaux et Forêts (DGEF)</t>
  </si>
  <si>
    <t>BF-01</t>
  </si>
  <si>
    <t>BFA</t>
  </si>
  <si>
    <t>Deux Balé</t>
  </si>
  <si>
    <t>Forêt Classée des Deux Balé</t>
  </si>
  <si>
    <t>Office National des Aires Protégées (OFINAP)</t>
  </si>
  <si>
    <t>Management plan is implemented and is available</t>
  </si>
  <si>
    <t>Dzanga-Ndoki</t>
  </si>
  <si>
    <t>Parc National</t>
  </si>
  <si>
    <t>CF-SE</t>
  </si>
  <si>
    <t>CAF</t>
  </si>
  <si>
    <t>Dzanga-Sangha</t>
  </si>
  <si>
    <t>Réserve Spéciale</t>
  </si>
  <si>
    <t>Special Reserve</t>
  </si>
  <si>
    <t>Pâ</t>
  </si>
  <si>
    <t>Forêt Classée de Pâ</t>
  </si>
  <si>
    <t>Sorobouli</t>
  </si>
  <si>
    <t>Forêt Classée de Sorobouli</t>
  </si>
  <si>
    <t>Tissé</t>
  </si>
  <si>
    <t>Forêt Classée de Tissé</t>
  </si>
  <si>
    <t>Mandelia</t>
  </si>
  <si>
    <t>Réserve de Faune</t>
  </si>
  <si>
    <t>Faunal Reserve</t>
  </si>
  <si>
    <t>TD-CB</t>
  </si>
  <si>
    <t>TCD</t>
  </si>
  <si>
    <t>Ouadi Rimé-Ouadi Achim</t>
  </si>
  <si>
    <t>Réserve de l’Ouadi Rimé-Ouadi Achim</t>
  </si>
  <si>
    <t>TD-BA</t>
  </si>
  <si>
    <t>Réserve Naturelle du Lac des Oiseaux</t>
  </si>
  <si>
    <t>(i)(ii)(iii)(vi)</t>
  </si>
  <si>
    <t>Management plan is not implemented and not available</t>
  </si>
  <si>
    <t>DZ-36</t>
  </si>
  <si>
    <t>DZA</t>
  </si>
  <si>
    <t>El Kala</t>
  </si>
  <si>
    <t>Ministère de l'Agriculture et du développement Rural</t>
  </si>
  <si>
    <t>Existing</t>
  </si>
  <si>
    <t>Marais de la Mekhada</t>
  </si>
  <si>
    <t>(i)(iv)(v)(vi)</t>
  </si>
  <si>
    <t>Marais de Bourdim</t>
  </si>
  <si>
    <t>(i)(iv)(vi)</t>
  </si>
  <si>
    <t>Mare de Tabalak</t>
  </si>
  <si>
    <t>Zone Humide de la Mare de Tabalak</t>
  </si>
  <si>
    <t>(i)(iii)(vi)</t>
  </si>
  <si>
    <t>Direction de la Faune, de la Chasse et des Parcs et Réserves (DFC/PR)</t>
  </si>
  <si>
    <t>Managment plan is not implemented and not available</t>
  </si>
  <si>
    <t>NE-5</t>
  </si>
  <si>
    <t>NER</t>
  </si>
  <si>
    <t>Dosso</t>
  </si>
  <si>
    <t>Réserve Partielle de Faune de Dosso</t>
  </si>
  <si>
    <t>Réserve Partielle de Faune</t>
  </si>
  <si>
    <t>Partial Fauna Reserve</t>
  </si>
  <si>
    <t>NE-6</t>
  </si>
  <si>
    <t>Losai</t>
  </si>
  <si>
    <t>National Reserve</t>
  </si>
  <si>
    <t>Kenya Wildlife Service</t>
  </si>
  <si>
    <t>Kalio</t>
  </si>
  <si>
    <t>Forêt Classée de Kalio</t>
  </si>
  <si>
    <t>BF-06</t>
  </si>
  <si>
    <t>South Turkana</t>
  </si>
  <si>
    <t>Marsabit</t>
  </si>
  <si>
    <t>Daka Headwaters</t>
  </si>
  <si>
    <t>Communal</t>
  </si>
  <si>
    <t>Forest Services Division</t>
  </si>
  <si>
    <t>No management plan</t>
  </si>
  <si>
    <t>GH-NP</t>
  </si>
  <si>
    <t>GHA</t>
  </si>
  <si>
    <t>Yendi Town Plantation</t>
  </si>
  <si>
    <t xml:space="preserve">Gambaga Scarp East </t>
  </si>
  <si>
    <t>III</t>
  </si>
  <si>
    <t>Marago River</t>
  </si>
  <si>
    <t>Morago River</t>
  </si>
  <si>
    <t>Uppe Bli</t>
  </si>
  <si>
    <t>GH-UE</t>
  </si>
  <si>
    <t>Alédjo</t>
  </si>
  <si>
    <t>Management plan available</t>
  </si>
  <si>
    <t>TG-K</t>
  </si>
  <si>
    <t>TGO</t>
  </si>
  <si>
    <t>Galangashie</t>
  </si>
  <si>
    <t>Zone de gestion des ressources naturelles</t>
  </si>
  <si>
    <t>Natural resource management area</t>
  </si>
  <si>
    <t>Direction des ressources forestières</t>
  </si>
  <si>
    <t>TG-S</t>
  </si>
  <si>
    <t>Dumbua</t>
  </si>
  <si>
    <t>Tchorogo</t>
  </si>
  <si>
    <t>Management plan is available</t>
  </si>
  <si>
    <t>TG-C</t>
  </si>
  <si>
    <t>Fosse aux Lions</t>
  </si>
  <si>
    <t>Sokode</t>
  </si>
  <si>
    <t>Barkoissi</t>
  </si>
  <si>
    <t>Oti-Kéran</t>
  </si>
  <si>
    <t>TG-S;TG-K</t>
  </si>
  <si>
    <t>Cailcédrats</t>
  </si>
  <si>
    <t>Parc national de la Keran</t>
  </si>
  <si>
    <t>Management plan is not implented and not available</t>
  </si>
  <si>
    <t>Ahaggar</t>
  </si>
  <si>
    <t>الاهقار</t>
  </si>
  <si>
    <t>Parc Culturel</t>
  </si>
  <si>
    <t>Cultural Park</t>
  </si>
  <si>
    <t>Office National du Parc Culturel de l'Ahaggar</t>
  </si>
  <si>
    <t>Parcs Culturels du Tassili N'Ajjer et de l'Ahaggar - Plan d'action pour la biodiversite (2010-2017)</t>
  </si>
  <si>
    <t>Primary</t>
  </si>
  <si>
    <t>https://www.m-culture.gov.dz/index.php/fr/textes-juridiques-patrimoine-culturel/etablissements/office</t>
  </si>
  <si>
    <t>DZ-11</t>
  </si>
  <si>
    <t>Tinienko</t>
  </si>
  <si>
    <t>Forêt classée de Tinienko</t>
  </si>
  <si>
    <t>ML-1</t>
  </si>
  <si>
    <t>MLI</t>
  </si>
  <si>
    <t>Nafadji</t>
  </si>
  <si>
    <t>Forêt classée de Nafadji</t>
  </si>
  <si>
    <t>Sébékoro</t>
  </si>
  <si>
    <t>Forêt classée de Sébékoro</t>
  </si>
  <si>
    <t>Fangala</t>
  </si>
  <si>
    <t>Forêt classée de Fangala</t>
  </si>
  <si>
    <t>Government-delegated management</t>
  </si>
  <si>
    <t>Produits du Sud</t>
  </si>
  <si>
    <t>Being Implemented</t>
  </si>
  <si>
    <t>Dioubéba</t>
  </si>
  <si>
    <t>Forêt classée de Dioubéba</t>
  </si>
  <si>
    <t>Bagouko</t>
  </si>
  <si>
    <t>Forêt classée de Bagouko</t>
  </si>
  <si>
    <t>East Dinguira</t>
  </si>
  <si>
    <t>Forêt classée de Dinguira Est</t>
  </si>
  <si>
    <t>Falémé</t>
  </si>
  <si>
    <t>Forêt classée de la Falémé</t>
  </si>
  <si>
    <t>Djinina</t>
  </si>
  <si>
    <t>Forêt classée de Djinina</t>
  </si>
  <si>
    <t>ML-2</t>
  </si>
  <si>
    <t>Néguèla</t>
  </si>
  <si>
    <t>Forêt classée de Néguèla</t>
  </si>
  <si>
    <t>Lac Magui</t>
  </si>
  <si>
    <t>Zone Humide</t>
  </si>
  <si>
    <t>(i)(iii)(iv)(v)(viii)</t>
  </si>
  <si>
    <t>Collaborative governance</t>
  </si>
  <si>
    <t>State, AMCFE, Communities</t>
  </si>
  <si>
    <t>Management plan not implemented and not available</t>
  </si>
  <si>
    <t>Baoulé</t>
  </si>
  <si>
    <t>Forêt classée du Baoulé</t>
  </si>
  <si>
    <t>Faya</t>
  </si>
  <si>
    <t>Forêt classée de la Faya</t>
  </si>
  <si>
    <t>State, TAM VOYAGE Society</t>
  </si>
  <si>
    <t>Djidiéni</t>
  </si>
  <si>
    <t>Forêt classée de Djidiéni</t>
  </si>
  <si>
    <t>Dioforongo</t>
  </si>
  <si>
    <t>Forêt classée de Dioforongo</t>
  </si>
  <si>
    <t>ML-4</t>
  </si>
  <si>
    <t>Diaka</t>
  </si>
  <si>
    <t>Forêt classée de Diaka</t>
  </si>
  <si>
    <t>Fanzana</t>
  </si>
  <si>
    <t>Forêt classée de Fanzana</t>
  </si>
  <si>
    <t>Fabougou</t>
  </si>
  <si>
    <t>Forêt classée de Fabougou</t>
  </si>
  <si>
    <t>Dougoukoloma</t>
  </si>
  <si>
    <t>Forêt classée de Dougoukoloma</t>
  </si>
  <si>
    <t>Koulouba</t>
  </si>
  <si>
    <t>Forêt classée de Koulouba</t>
  </si>
  <si>
    <t>ML-BKO</t>
  </si>
  <si>
    <t>Niangoloko</t>
  </si>
  <si>
    <t>Forêt Classée de Niangoloko</t>
  </si>
  <si>
    <t>BF-02</t>
  </si>
  <si>
    <t>Barrage de Ouagadougou</t>
  </si>
  <si>
    <t>Forêt Classée du Barrage de Ouagadougou</t>
  </si>
  <si>
    <t>BF-03</t>
  </si>
  <si>
    <t>Nakambé</t>
  </si>
  <si>
    <t>Forêt Classée du Nakambé</t>
  </si>
  <si>
    <t>BF-07</t>
  </si>
  <si>
    <t>Bambou</t>
  </si>
  <si>
    <t>Forêt Classée de Bambou</t>
  </si>
  <si>
    <t>BF-09</t>
  </si>
  <si>
    <t>Bansié</t>
  </si>
  <si>
    <t>Forêt Classée de Bansié</t>
  </si>
  <si>
    <t>Koua (Poa)</t>
  </si>
  <si>
    <t>Forêt Classée de Koua (Poa)</t>
  </si>
  <si>
    <t>Koulima</t>
  </si>
  <si>
    <t>Forêt Classée de Koulima</t>
  </si>
  <si>
    <t>Péni</t>
  </si>
  <si>
    <t>Forêt Classée de Péni</t>
  </si>
  <si>
    <t>Tuy</t>
  </si>
  <si>
    <t>Forêt Classée du Tuy</t>
  </si>
  <si>
    <t>Maro</t>
  </si>
  <si>
    <t>Forêt Classée de Maro</t>
  </si>
  <si>
    <t>Wayen</t>
  </si>
  <si>
    <t>Forêt Classée de Wayen</t>
  </si>
  <si>
    <t>BF-11</t>
  </si>
  <si>
    <t>Ziga</t>
  </si>
  <si>
    <t>Forêt Classée de Ziga</t>
  </si>
  <si>
    <t>Laba</t>
  </si>
  <si>
    <t>Forêt Classée de Laba</t>
  </si>
  <si>
    <t>Tiogo</t>
  </si>
  <si>
    <t>Forêt Classée de Tiogo</t>
  </si>
  <si>
    <t>Yendéré</t>
  </si>
  <si>
    <t>Forêt Classée de Yendéré</t>
  </si>
  <si>
    <t>Babolo</t>
  </si>
  <si>
    <t>Forêt Classée de Babolo</t>
  </si>
  <si>
    <t>Baporo</t>
  </si>
  <si>
    <t>Forêt Classée de Baporo</t>
  </si>
  <si>
    <t>Corridor forestier de la Boucle du Mouhoun</t>
  </si>
  <si>
    <t>(ii)(iii)(vii)(viii)</t>
  </si>
  <si>
    <t>Secrétariat Permanent du Conseil National pour le Développement Durable (SP/CNDD)</t>
  </si>
  <si>
    <t>Management plan is not implented but is available</t>
  </si>
  <si>
    <t>BF-01; BF-06</t>
  </si>
  <si>
    <t>Complexe du Parc Urbain Bãngr – Weoogo et du lac des trois barrages</t>
  </si>
  <si>
    <t>(ii)(iii)</t>
  </si>
  <si>
    <t>Waza Logone Floodplain</t>
  </si>
  <si>
    <t>Site Ramsar, Zone Humide d’Importance Internationale</t>
  </si>
  <si>
    <t>(ii)(iii)(iv)(v)(vi)(vii)(viii)</t>
  </si>
  <si>
    <t>CM-EN</t>
  </si>
  <si>
    <t>CMR</t>
  </si>
  <si>
    <t>Lobéké</t>
  </si>
  <si>
    <t>State/WWF</t>
  </si>
  <si>
    <t>Yes</t>
  </si>
  <si>
    <t>CM-ES</t>
  </si>
  <si>
    <t>Bénoué</t>
  </si>
  <si>
    <t>Available 2002</t>
  </si>
  <si>
    <t>CM-NO</t>
  </si>
  <si>
    <t>Benoué</t>
  </si>
  <si>
    <t>Parc National de la Benoué</t>
  </si>
  <si>
    <t>UNESCO-MAB Réserve de Biosphère</t>
  </si>
  <si>
    <t>Borena</t>
  </si>
  <si>
    <t>Oromia Forest and Wildlife Enterprise (OFWE)</t>
  </si>
  <si>
    <t>ET-OR</t>
  </si>
  <si>
    <t>ETH</t>
  </si>
  <si>
    <t>Denbel-Ayisha-Adigala</t>
  </si>
  <si>
    <t>Controlled Hunting Area</t>
  </si>
  <si>
    <t>Sub-national ministry or agency</t>
  </si>
  <si>
    <t>Somale Regional State (Culture, Sport and Tourism Beauro)</t>
  </si>
  <si>
    <t>Abijatta-Shalla</t>
  </si>
  <si>
    <t>Ethiopian Wildlife Conservation Authority (EWCA)</t>
  </si>
  <si>
    <t>Gara-Meti</t>
  </si>
  <si>
    <t>Open Hunting Area</t>
  </si>
  <si>
    <t>Shinile-Meto</t>
  </si>
  <si>
    <t>Halledeghe Asobot</t>
  </si>
  <si>
    <t>Wildlife Reserve</t>
  </si>
  <si>
    <t>Mille-Serdo</t>
  </si>
  <si>
    <t>Office of Culture Sport and Tourism (OCST)</t>
  </si>
  <si>
    <t>ET-AF</t>
  </si>
  <si>
    <t>Megada</t>
  </si>
  <si>
    <t>National Forest Priority Area</t>
  </si>
  <si>
    <t>Gewane</t>
  </si>
  <si>
    <t>Erer-Gota</t>
  </si>
  <si>
    <t>Awash-West</t>
  </si>
  <si>
    <t>Chifra</t>
  </si>
  <si>
    <t>Afar Regional State (Culture, Sport and Tourism Beauro)</t>
  </si>
  <si>
    <t>Kahatasa-Guangua</t>
  </si>
  <si>
    <t>ET-AM</t>
  </si>
  <si>
    <t>Awash West</t>
  </si>
  <si>
    <t>Afdem-Gewane</t>
  </si>
  <si>
    <t>Dengego-Melka Jedbu</t>
  </si>
  <si>
    <t>Jalo-Addes</t>
  </si>
  <si>
    <t>Eastern Hararghe (Harar-Wabi Shebelle)</t>
  </si>
  <si>
    <t>Awash</t>
  </si>
  <si>
    <t>Yangudi Rassa</t>
  </si>
  <si>
    <t>Amibera-Melikasad</t>
  </si>
  <si>
    <t>Gara-Gumbi</t>
  </si>
  <si>
    <t>Bilen-Hertale</t>
  </si>
  <si>
    <t>Oum Soltan</t>
  </si>
  <si>
    <t>Réserve de Chasse Permanente</t>
  </si>
  <si>
    <t>Permanent Hunting Reserve</t>
  </si>
  <si>
    <t>Established</t>
  </si>
  <si>
    <t>National Agency for Water and Forests</t>
  </si>
  <si>
    <t>No</t>
  </si>
  <si>
    <t>Secondary</t>
  </si>
  <si>
    <t>MA-03</t>
  </si>
  <si>
    <t>MAR</t>
  </si>
  <si>
    <t>Tazekka</t>
  </si>
  <si>
    <t>Frontière avec l'Algerie</t>
  </si>
  <si>
    <t>MA-02</t>
  </si>
  <si>
    <t>Skhirat - Témara - Ain Aouda - Ain Atig</t>
  </si>
  <si>
    <t>MA-04</t>
  </si>
  <si>
    <t>Oujda - Sidi Maafa - Jbel Hamra</t>
  </si>
  <si>
    <t>Fes</t>
  </si>
  <si>
    <t>Bouznika El Mansouria</t>
  </si>
  <si>
    <t>MA-06</t>
  </si>
  <si>
    <t>Dunes littorales</t>
  </si>
  <si>
    <t>Baie de Haouzia</t>
  </si>
  <si>
    <t>Site d'Intérêt Biologique et Ecologique (SIBE)</t>
  </si>
  <si>
    <t>Biological and Ecological Interest Site</t>
  </si>
  <si>
    <t>Plan Directeur des Aires Protégées</t>
  </si>
  <si>
    <t>Oued Chbika</t>
  </si>
  <si>
    <t>Oued Cheibeka</t>
  </si>
  <si>
    <t>MA-10</t>
  </si>
  <si>
    <t>Hssaine - Bouknadel - Sehoul</t>
  </si>
  <si>
    <t>Rabat</t>
  </si>
  <si>
    <t>Sidi Rahal Soualem</t>
  </si>
  <si>
    <t>La Tourterelle</t>
  </si>
  <si>
    <t>Adir</t>
  </si>
  <si>
    <t>Grand Casablanca</t>
  </si>
  <si>
    <t>EL Aioun</t>
  </si>
  <si>
    <t>El Jadida</t>
  </si>
  <si>
    <t>Ohosu</t>
  </si>
  <si>
    <t>NG-ED</t>
  </si>
  <si>
    <t>NGA</t>
  </si>
  <si>
    <t>Gambari</t>
  </si>
  <si>
    <t>NG-OY</t>
  </si>
  <si>
    <t>Omo</t>
  </si>
  <si>
    <t>NG-OG</t>
  </si>
  <si>
    <t>Nkisi River</t>
  </si>
  <si>
    <t>NG-AN</t>
  </si>
  <si>
    <t>Oluwa</t>
  </si>
  <si>
    <t>NG-ON</t>
  </si>
  <si>
    <t>Onishere</t>
  </si>
  <si>
    <t>Idanre</t>
  </si>
  <si>
    <t>Iguobazuwa</t>
  </si>
  <si>
    <t>Enugu</t>
  </si>
  <si>
    <t>NG-EN</t>
  </si>
  <si>
    <t>Dagida</t>
  </si>
  <si>
    <t>NG-NI</t>
  </si>
  <si>
    <t>Gwadabawa</t>
  </si>
  <si>
    <t>NG-SO</t>
  </si>
  <si>
    <t>Dutsin Kuba</t>
  </si>
  <si>
    <t>NG-KT</t>
  </si>
  <si>
    <t>Kadobi</t>
  </si>
  <si>
    <t>Katsina</t>
  </si>
  <si>
    <t>Yashi</t>
  </si>
  <si>
    <t>Giru</t>
  </si>
  <si>
    <t>NG-KE</t>
  </si>
  <si>
    <t>Kwari Kwasa</t>
  </si>
  <si>
    <t>Kabama</t>
  </si>
  <si>
    <t>NG-KD</t>
  </si>
  <si>
    <t>Zaria</t>
  </si>
  <si>
    <t>Nasarawa</t>
  </si>
  <si>
    <t>Mando</t>
  </si>
  <si>
    <t>Afaka</t>
  </si>
  <si>
    <t>Yelwa Fuel</t>
  </si>
  <si>
    <t>Kwakwa</t>
  </si>
  <si>
    <t>Sobi</t>
  </si>
  <si>
    <t>NG-KW</t>
  </si>
  <si>
    <t>Forest Reserve Name Unknown (NGA) No.8</t>
  </si>
  <si>
    <t>Sangha Trinational</t>
  </si>
  <si>
    <t>Trinational de la Sangha</t>
  </si>
  <si>
    <t>Site du Patrimoine Mondial (naturel ou mixte)</t>
  </si>
  <si>
    <t>World Heritage Site (natural or mixed)</t>
  </si>
  <si>
    <t>(ix)(x)</t>
  </si>
  <si>
    <t>Inscribed</t>
  </si>
  <si>
    <t>COG;CMR;CAF</t>
  </si>
  <si>
    <t>Classified Forest Name Unknown (CIV) No.7</t>
  </si>
  <si>
    <t>CI-03</t>
  </si>
  <si>
    <t>CIV</t>
  </si>
  <si>
    <t>Badikaha</t>
  </si>
  <si>
    <t>CI-04</t>
  </si>
  <si>
    <t>Leraba</t>
  </si>
  <si>
    <t>Classified Forest Name Unknown (CIV) No.4</t>
  </si>
  <si>
    <t>Classified Forest Name Unknown (CIV) No.11</t>
  </si>
  <si>
    <t>Malaba</t>
  </si>
  <si>
    <t>Kenya Forest Service</t>
  </si>
  <si>
    <t>KE-800</t>
  </si>
  <si>
    <t>Timau</t>
  </si>
  <si>
    <t>KE-400</t>
  </si>
  <si>
    <t>Turbo</t>
  </si>
  <si>
    <t>Northern Tinderet</t>
  </si>
  <si>
    <t>Tinderet</t>
  </si>
  <si>
    <t>Tumeya</t>
  </si>
  <si>
    <t>Kipkabus</t>
  </si>
  <si>
    <t>Dan</t>
  </si>
  <si>
    <t>BJ-ZO</t>
  </si>
  <si>
    <t>Sala</t>
  </si>
  <si>
    <t>GN-KD</t>
  </si>
  <si>
    <t>GIN</t>
  </si>
  <si>
    <t>Foret de Sangako</t>
  </si>
  <si>
    <t>SN-FK</t>
  </si>
  <si>
    <t>Foret de Sokone</t>
  </si>
  <si>
    <t>Lake Naivasha</t>
  </si>
  <si>
    <t>(i)(ii)(iii)(iv)</t>
  </si>
  <si>
    <t>Management plan is implented and available</t>
  </si>
  <si>
    <t>Sera Community Conservancy</t>
  </si>
  <si>
    <t>Kalama Community Wildlife Conservancy</t>
  </si>
  <si>
    <t>Nakuprat-Gotu Community Conservancy</t>
  </si>
  <si>
    <t>Ndera Community Conservancy</t>
  </si>
  <si>
    <t>West Gate Community Conservancy</t>
  </si>
  <si>
    <t>Lewa Wildlife Conservancy</t>
  </si>
  <si>
    <t>Banc d’Arguin</t>
  </si>
  <si>
    <t>MRT</t>
  </si>
  <si>
    <t>Banc d'Arguin</t>
  </si>
  <si>
    <t>Delta du Saloum</t>
  </si>
  <si>
    <t>Foret de Tilene et Ndiaye</t>
  </si>
  <si>
    <t>SN-SL</t>
  </si>
  <si>
    <t>Gueumbeul</t>
  </si>
  <si>
    <t>Foret de Pire-Goureye</t>
  </si>
  <si>
    <t>SN-TH</t>
  </si>
  <si>
    <t>Foret de Bandia</t>
  </si>
  <si>
    <t>Foret de Birkelane</t>
  </si>
  <si>
    <t>Foret de Sagna</t>
  </si>
  <si>
    <t>Foret de Tobor</t>
  </si>
  <si>
    <t>SN-ZG</t>
  </si>
  <si>
    <t>Mkwawe</t>
  </si>
  <si>
    <t>ZM-03</t>
  </si>
  <si>
    <t>ZMB</t>
  </si>
  <si>
    <t>Lake George</t>
  </si>
  <si>
    <t>UG-406</t>
  </si>
  <si>
    <t>Mabamba Bay Wetland System</t>
  </si>
  <si>
    <t>(ii)(iv)(v)(vi)</t>
  </si>
  <si>
    <t>Central Government: National Environment Management Authority; District Local Government (and sub-counties): Wakiso (Kasanje) and Mpigi (Kamengo and Mpigi)</t>
  </si>
  <si>
    <t>UG-113</t>
  </si>
  <si>
    <t>Guramwa</t>
  </si>
  <si>
    <t>Ibambaro</t>
  </si>
  <si>
    <t>Bugoma</t>
  </si>
  <si>
    <t>North Rwenzori</t>
  </si>
  <si>
    <t>Tororo</t>
  </si>
  <si>
    <t>Fort Portal</t>
  </si>
  <si>
    <t>Oruha</t>
  </si>
  <si>
    <t>Kaweri</t>
  </si>
  <si>
    <t>Kasenyi</t>
  </si>
  <si>
    <t>Buyaga Dam</t>
  </si>
  <si>
    <t>Kasana - Kasambya</t>
  </si>
  <si>
    <t>Kateta</t>
  </si>
  <si>
    <t>Katenta</t>
  </si>
  <si>
    <t>Name Unknown - Forest Reserve 5</t>
  </si>
  <si>
    <t>Lwamunda</t>
  </si>
  <si>
    <t>Namanve</t>
  </si>
  <si>
    <t>Buvuma</t>
  </si>
  <si>
    <t>Mpanga</t>
  </si>
  <si>
    <t>Kyansonzi</t>
  </si>
  <si>
    <t>Gangu</t>
  </si>
  <si>
    <t>Kalandazi</t>
  </si>
  <si>
    <t>Buwa</t>
  </si>
  <si>
    <t>Kyamuhunga</t>
  </si>
  <si>
    <t>Bikira</t>
  </si>
  <si>
    <t>Mbarara</t>
  </si>
  <si>
    <t>Kijanebalola</t>
  </si>
  <si>
    <t>Kalinzu</t>
  </si>
  <si>
    <t>Kumbu</t>
  </si>
  <si>
    <t>Kumbu (North and South)</t>
  </si>
  <si>
    <t>Name Unknown - Forest Reserve 1</t>
  </si>
  <si>
    <t>Mabira</t>
  </si>
  <si>
    <t>Kasyoha - Kitomi</t>
  </si>
  <si>
    <t>Queen Elizabeth National Park</t>
  </si>
  <si>
    <t>UG-402</t>
  </si>
  <si>
    <t>Kapele</t>
  </si>
  <si>
    <t>ZM-05</t>
  </si>
  <si>
    <t>Chipunga</t>
  </si>
  <si>
    <t>Ituntwe</t>
  </si>
  <si>
    <t>Nakonde</t>
  </si>
  <si>
    <t>Hippo Pool</t>
  </si>
  <si>
    <t>ZM-08</t>
  </si>
  <si>
    <t>Karubwe</t>
  </si>
  <si>
    <t>ZM-02</t>
  </si>
  <si>
    <t>Serenje</t>
  </si>
  <si>
    <t>Mpika Boma</t>
  </si>
  <si>
    <t>Chibwe</t>
  </si>
  <si>
    <t>Kanona</t>
  </si>
  <si>
    <t>Ndola East</t>
  </si>
  <si>
    <t>Kasaria</t>
  </si>
  <si>
    <t>Misaka</t>
  </si>
  <si>
    <t>Ichimpe</t>
  </si>
  <si>
    <t>Kirila</t>
  </si>
  <si>
    <t>Mwomboshi</t>
  </si>
  <si>
    <t>Miengwe</t>
  </si>
  <si>
    <t>Chondwe</t>
  </si>
  <si>
    <t>Chichele</t>
  </si>
  <si>
    <t>Mwekera East</t>
  </si>
  <si>
    <t>Maposa</t>
  </si>
  <si>
    <t>Mufulira</t>
  </si>
  <si>
    <t>Chingola</t>
  </si>
  <si>
    <t>Kafue</t>
  </si>
  <si>
    <t>ZM-09</t>
  </si>
  <si>
    <t>Forest Reserve Name Unknown (ZMB) No.20</t>
  </si>
  <si>
    <t>Forest Reserve Name Unknown (ZMB) No.34</t>
  </si>
  <si>
    <t>Forest Reserve Name Unknown (ZMB) No.45</t>
  </si>
  <si>
    <t>Forest Reserve Name Unknown (ZMB) No.56</t>
  </si>
  <si>
    <t>Forest Reserve Name Unknown (ZMB) No.57</t>
  </si>
  <si>
    <t>Forest Reserve Name Unknown (ZMB) No.58</t>
  </si>
  <si>
    <t>Forest Reserve Name Unknown (ZMB) No.100</t>
  </si>
  <si>
    <t>Gishwati-Mukura</t>
  </si>
  <si>
    <t>Rwanda Development Board</t>
  </si>
  <si>
    <t>RWA</t>
  </si>
  <si>
    <t>Chaya O.A.</t>
  </si>
  <si>
    <t>Open area</t>
  </si>
  <si>
    <t>Tanzania National Parks (TANAPA)</t>
  </si>
  <si>
    <t>TZA</t>
  </si>
  <si>
    <t>Kilombero Valley Floodplain</t>
  </si>
  <si>
    <t>Msima GCA</t>
  </si>
  <si>
    <t>Game controlled area</t>
  </si>
  <si>
    <t>Tanzania Wildlife Authority (TAWA)</t>
  </si>
  <si>
    <t>Gombe GCA</t>
  </si>
  <si>
    <t>Kitwai GCA</t>
  </si>
  <si>
    <t>Lake Natron GCA</t>
  </si>
  <si>
    <t>Handeni GCA</t>
  </si>
  <si>
    <t>Wembere GCA</t>
  </si>
  <si>
    <t>Kilombero GCA</t>
  </si>
  <si>
    <t>Enduimet WMA</t>
  </si>
  <si>
    <t>Wildlife Management Area</t>
  </si>
  <si>
    <t>Local communities</t>
  </si>
  <si>
    <t>Monduli District Council (2005) Enduimet Wildlife Management Area: Resource Management Zone Plan July 2005 – July 2010.</t>
  </si>
  <si>
    <t>TZ-01</t>
  </si>
  <si>
    <t>Makame WMA</t>
  </si>
  <si>
    <t>TZ-26</t>
  </si>
  <si>
    <t>Msuluguda O.A</t>
  </si>
  <si>
    <t>Mbarang'andu WMA</t>
  </si>
  <si>
    <t>Resource Zone Management Plan (2009-2013) for the Mbarang’andu Pilot Wildlife Management Area</t>
  </si>
  <si>
    <t>TZ-21</t>
  </si>
  <si>
    <t>Tunduru WMA</t>
  </si>
  <si>
    <t>NALIKA (2009) Resource Management Zone Plan (2009-2013) for Tunduru WMA in Tunduru District</t>
  </si>
  <si>
    <t>Ukutu WMA</t>
  </si>
  <si>
    <t>Resource Zone Management Plan (2010-2015) for the UKUTU Wildlife Management Area</t>
  </si>
  <si>
    <t>TZ-16</t>
  </si>
  <si>
    <t>Burunge WMA</t>
  </si>
  <si>
    <t>JUHIBU (2010) Burunge Wildlife Management Area: The General Management Plan 2010 – 2020.</t>
  </si>
  <si>
    <t>TZ-01;TZ-26</t>
  </si>
  <si>
    <t>Swagaswaga G.R</t>
  </si>
  <si>
    <t>Lwafi-Nkamba G.R.</t>
  </si>
  <si>
    <t>Selous G.R</t>
  </si>
  <si>
    <t>Ugalla Niensi O.A.</t>
  </si>
  <si>
    <t>Talamai O.A.</t>
  </si>
  <si>
    <t>Wembere O.A.</t>
  </si>
  <si>
    <t>Malagarasi-Muyovozi Wetlands</t>
  </si>
  <si>
    <t>Kibira</t>
  </si>
  <si>
    <t>OBPE</t>
  </si>
  <si>
    <t>Available 2014</t>
  </si>
  <si>
    <t>BI-CI</t>
  </si>
  <si>
    <t>BDI</t>
  </si>
  <si>
    <t>Rusizi</t>
  </si>
  <si>
    <t>Réserve naturelle du Rusizi</t>
  </si>
  <si>
    <t>Available 2015</t>
  </si>
  <si>
    <t>BI-BB</t>
  </si>
  <si>
    <t>Rubi-Tele</t>
  </si>
  <si>
    <t>Domaine de Chasse</t>
  </si>
  <si>
    <t>Hunting Area</t>
  </si>
  <si>
    <t>CD-OR</t>
  </si>
  <si>
    <t>COD</t>
  </si>
  <si>
    <t>Okapis</t>
  </si>
  <si>
    <t>Parc national des Virunga</t>
  </si>
  <si>
    <t>Kahuzi-Biega</t>
  </si>
  <si>
    <t>Institut Congolais pour la Conservation de la Nature (ICCN)</t>
  </si>
  <si>
    <t>Lufira</t>
  </si>
  <si>
    <t>Réserve de Biosphère</t>
  </si>
  <si>
    <t>Biosphere Reserve</t>
  </si>
  <si>
    <t>CD-KA</t>
  </si>
  <si>
    <t>Lac Tshangalele</t>
  </si>
  <si>
    <t>Réserve Naturelle</t>
  </si>
  <si>
    <t>Nature reserve</t>
  </si>
  <si>
    <t>Virunga</t>
  </si>
  <si>
    <t>Lac du Barrage de Boughezoul</t>
  </si>
  <si>
    <t>(ii)(iii)(v)(vi)</t>
  </si>
  <si>
    <t>DZ-2;6</t>
  </si>
  <si>
    <t>Kaiso Tonya</t>
  </si>
  <si>
    <t>Community Wildlife Management Area</t>
  </si>
  <si>
    <t>Uganda Wildlife Authority</t>
  </si>
  <si>
    <t>UG-403</t>
  </si>
  <si>
    <t>Jinja</t>
  </si>
  <si>
    <t>Wildlife Sanctuary</t>
  </si>
  <si>
    <t>UG-204</t>
  </si>
  <si>
    <t>Kibale</t>
  </si>
  <si>
    <t>UG-413</t>
  </si>
  <si>
    <t>Kabwoya</t>
  </si>
  <si>
    <t>Queen Elizabeth</t>
  </si>
  <si>
    <t>Chréa</t>
  </si>
  <si>
    <t>DZ-26</t>
  </si>
  <si>
    <t>Sebkhet El Melah</t>
  </si>
  <si>
    <t>(iii)(iv)(vi)</t>
  </si>
  <si>
    <t>DZ-47</t>
  </si>
  <si>
    <t>Chott Zahrez Gharbi</t>
  </si>
  <si>
    <t>(i)(iii)</t>
  </si>
  <si>
    <t>DZ-17</t>
  </si>
  <si>
    <t>Marais de la Macta</t>
  </si>
  <si>
    <t>DZ-29</t>
  </si>
  <si>
    <t>DZ-09</t>
  </si>
  <si>
    <t>Naivasha Wildlife Sanctuary</t>
  </si>
  <si>
    <t>National Sanctuary</t>
  </si>
  <si>
    <t>Bisandi</t>
  </si>
  <si>
    <t>Buffalo Springs</t>
  </si>
  <si>
    <t>Kora</t>
  </si>
  <si>
    <t>Meru</t>
  </si>
  <si>
    <t>Mt. Kenya</t>
  </si>
  <si>
    <t>Nyambene</t>
  </si>
  <si>
    <t>Rahole</t>
  </si>
  <si>
    <t>Tsavo West</t>
  </si>
  <si>
    <t>Tsavo East</t>
  </si>
  <si>
    <t>Ngai Ndethia</t>
  </si>
  <si>
    <t>Tsavo Road and Railways</t>
  </si>
  <si>
    <t>Apepesu River</t>
  </si>
  <si>
    <t>GH-TV</t>
  </si>
  <si>
    <t>Chipa Tributaries</t>
  </si>
  <si>
    <t>GH-AA</t>
  </si>
  <si>
    <t>Ruiga River</t>
  </si>
  <si>
    <t>Tanzania Forest Services (TFS) Agency</t>
  </si>
  <si>
    <t>Lili</t>
  </si>
  <si>
    <t>TG-M</t>
  </si>
  <si>
    <t>Amakpave</t>
  </si>
  <si>
    <t>TG-P</t>
  </si>
  <si>
    <t>Nuatja Sud (Notsè)</t>
  </si>
  <si>
    <t>Atakpamé</t>
  </si>
  <si>
    <t>Agodjololo</t>
  </si>
  <si>
    <t>Agbonou-Nord</t>
  </si>
  <si>
    <t>Game</t>
  </si>
  <si>
    <t>Togblecopé (Bayeme)</t>
  </si>
  <si>
    <t>Jogble</t>
  </si>
  <si>
    <t>Cuntabane</t>
  </si>
  <si>
    <t>Cuntabane-Quebo</t>
  </si>
  <si>
    <t>Corredor de migração da fauna</t>
  </si>
  <si>
    <t>Faunal Migratory Corridor</t>
  </si>
  <si>
    <t>GW-GA</t>
  </si>
  <si>
    <t>GNB</t>
  </si>
  <si>
    <t>Iringa</t>
  </si>
  <si>
    <t>Isabe</t>
  </si>
  <si>
    <t>Goweko</t>
  </si>
  <si>
    <t>Local Authority (LAFR)</t>
  </si>
  <si>
    <t>Songa</t>
  </si>
  <si>
    <t>Uvinza</t>
  </si>
  <si>
    <t>Mpanda Line</t>
  </si>
  <si>
    <t>Mulele Hills</t>
  </si>
  <si>
    <t>TZ-20</t>
  </si>
  <si>
    <t>Kitulanghalo</t>
  </si>
  <si>
    <t>Morogoro Fuel</t>
  </si>
  <si>
    <t>Ukanga</t>
  </si>
  <si>
    <t>Lwenza</t>
  </si>
  <si>
    <t>Village (VFR)</t>
  </si>
  <si>
    <t>North Makere</t>
  </si>
  <si>
    <t>Bereku</t>
  </si>
  <si>
    <t>Nandembo</t>
  </si>
  <si>
    <t>Mombo</t>
  </si>
  <si>
    <t>TZ-25</t>
  </si>
  <si>
    <t>South Gendagenda</t>
  </si>
  <si>
    <t>Nyahua Mbuga</t>
  </si>
  <si>
    <t>Kigongkwe</t>
  </si>
  <si>
    <t>Zaraninge</t>
  </si>
  <si>
    <t>Ngogwa Busangi</t>
  </si>
  <si>
    <t>Mwangilye</t>
  </si>
  <si>
    <t>Chenene East</t>
  </si>
  <si>
    <t>East Chenene</t>
  </si>
  <si>
    <t>Nyaganje</t>
  </si>
  <si>
    <t>Nyanganje</t>
  </si>
  <si>
    <t>Salanga/Bereku</t>
  </si>
  <si>
    <t>Sao Hill</t>
  </si>
  <si>
    <t>Uyovu</t>
  </si>
  <si>
    <t>Ruvu South</t>
  </si>
  <si>
    <t>Ilomero Hill</t>
  </si>
  <si>
    <t>Mkweni Hill</t>
  </si>
  <si>
    <t>Irangi Escarpment</t>
  </si>
  <si>
    <t>Mkuti</t>
  </si>
  <si>
    <t>Mpanda North East</t>
  </si>
  <si>
    <t>Mbeya fuel</t>
  </si>
  <si>
    <t>Kikoka</t>
  </si>
  <si>
    <t>Chinene West</t>
  </si>
  <si>
    <t>Biharamulo</t>
  </si>
  <si>
    <t>Uzunwga Scarp</t>
  </si>
  <si>
    <t>Nature Forest Reserve</t>
  </si>
  <si>
    <t>Atlas Saharien</t>
  </si>
  <si>
    <t>الاطلس الصحراوي</t>
  </si>
  <si>
    <t>Office National du Parc Culturel de l'Atlas Saharien</t>
  </si>
  <si>
    <t>Plan d'action pour le Patrimoine Eco Culturel du Parc Culturel de l'Atlas Saharien (2021 -2025)</t>
  </si>
  <si>
    <t>DZ-07; DZ-28; DZ-17; DZ-03; DZ-32; DZ-45</t>
  </si>
  <si>
    <t>Kobani</t>
  </si>
  <si>
    <t>Forêt classée de Kobani</t>
  </si>
  <si>
    <t>ML-3</t>
  </si>
  <si>
    <t>Bagoé</t>
  </si>
  <si>
    <t>Forêt classée du Bagoé</t>
  </si>
  <si>
    <t>Nº12</t>
  </si>
  <si>
    <t>Coutada</t>
  </si>
  <si>
    <t>Hunting Reserve</t>
  </si>
  <si>
    <t>National Administration of Conservation Areas (ANAC)</t>
  </si>
  <si>
    <t>MOZ</t>
  </si>
  <si>
    <t>801_B</t>
  </si>
  <si>
    <t>Gorongoza</t>
  </si>
  <si>
    <t>Zona Tampao</t>
  </si>
  <si>
    <t>Buffer Zone</t>
  </si>
  <si>
    <t>Swara Conservancy</t>
  </si>
  <si>
    <t>Conservancy</t>
  </si>
  <si>
    <t>ILRI Conservancy</t>
  </si>
  <si>
    <t>761_A</t>
  </si>
  <si>
    <t>Nairobi</t>
  </si>
  <si>
    <t>All</t>
  </si>
  <si>
    <t>Direction des Parcs Nationaux</t>
  </si>
  <si>
    <t>Plan de Gestion du Parc National du Delta du Saloum 2010-2014</t>
  </si>
  <si>
    <t>Kasewe</t>
  </si>
  <si>
    <t>SL-S</t>
  </si>
  <si>
    <t>SLE</t>
  </si>
  <si>
    <t>Grande Niayes de Pikine and Dependencies</t>
  </si>
  <si>
    <t>Réserve Naturelle Urbaine de la Grande Niayes de Pikine et dépendances</t>
  </si>
  <si>
    <t>Réserve Naturelle Urbaine</t>
  </si>
  <si>
    <t>Urban Nature Reserve</t>
  </si>
  <si>
    <t>Joint governance</t>
  </si>
  <si>
    <t>Direction des aires marines communautaires Protégées</t>
  </si>
  <si>
    <t>SN-DK</t>
  </si>
  <si>
    <t>Réserve Spéciale de Faune de Gueumbeul</t>
  </si>
  <si>
    <t>Réserve Spéciale de Faune</t>
  </si>
  <si>
    <t>Plan de Gestion de la Réserve de Faune de Gueumbeul 2010-2014</t>
  </si>
  <si>
    <t>Niamone-Kalounayes</t>
  </si>
  <si>
    <t>Aire Marine Protégée de Niamone-Kalounayes</t>
  </si>
  <si>
    <t>Aire Marine Protégée</t>
  </si>
  <si>
    <t>http://www.damcp.gouv.sn/type-de-document/plan-dam%C3%A9nagement-et-de-gestion</t>
  </si>
  <si>
    <t>Kaalolaal Blouf-Fogny</t>
  </si>
  <si>
    <t>Aire Marine Protégée de Kaalolaal Blouf-Fogny</t>
  </si>
  <si>
    <t>Ndiael</t>
  </si>
  <si>
    <t>Pugu-Kazimzumbwi</t>
  </si>
  <si>
    <t>Msimba</t>
  </si>
  <si>
    <t>Village Land Forest Reserve</t>
  </si>
  <si>
    <t>Village Council</t>
  </si>
  <si>
    <t>Not reported</t>
  </si>
  <si>
    <t>Mbamba</t>
  </si>
  <si>
    <t>Gonarezhou</t>
  </si>
  <si>
    <t>ZW-MV</t>
  </si>
  <si>
    <t>ZWE</t>
  </si>
  <si>
    <t>Batanai</t>
  </si>
  <si>
    <t>Ugalla River National Park</t>
  </si>
  <si>
    <t>Nyerere National Park</t>
  </si>
  <si>
    <t>Burigi-Chato National Park</t>
  </si>
  <si>
    <t>Katavi National Park</t>
  </si>
  <si>
    <t>Saadani National Park</t>
  </si>
  <si>
    <t>TZ-19;TZ-25</t>
  </si>
  <si>
    <t>Udzungwa Mountains National Park</t>
  </si>
  <si>
    <t>Mikumi National Park</t>
  </si>
  <si>
    <t>Baie de Khnifiss</t>
  </si>
  <si>
    <t>Site ramsar</t>
  </si>
  <si>
    <t>(i)(ii)(iii)(iv)(v)(vi)(viii)</t>
  </si>
  <si>
    <t>MA-11</t>
  </si>
  <si>
    <t>Parc National de Khnifiss</t>
  </si>
  <si>
    <t>Oued Al Wa'er</t>
  </si>
  <si>
    <t>MA-10; MA-11</t>
  </si>
  <si>
    <t>Embouchure du Draa</t>
  </si>
  <si>
    <t>Réserve de Biosphère de l'Arganeraie (RBA)</t>
  </si>
  <si>
    <t>MA-09</t>
  </si>
  <si>
    <t>Cap Ghir</t>
  </si>
  <si>
    <t>Oued Amma Fatma</t>
  </si>
  <si>
    <t>Réserve des Ibis Chauves et de Mouflon et Tamri</t>
  </si>
  <si>
    <t>Ridi Tanounja</t>
  </si>
  <si>
    <t>MA-07</t>
  </si>
  <si>
    <t>Embouchure de l'Oued Dr'a</t>
  </si>
  <si>
    <t>Embouchure du Tamri</t>
  </si>
  <si>
    <t>Msied - Abteh</t>
  </si>
  <si>
    <t>Réserve Biologique de Massa I</t>
  </si>
  <si>
    <t>Amsiten et Ait Iddir</t>
  </si>
  <si>
    <t>Mogador</t>
  </si>
  <si>
    <t>Réserve biologique de Massa et Grand Agadir</t>
  </si>
  <si>
    <t>Rouisset Tayssa Boulafraij Ouinskour et Oued Daraa</t>
  </si>
  <si>
    <t>Cap Ghir-Imsouane</t>
  </si>
  <si>
    <t>(i)(ii)(iii)(iv)(v)</t>
  </si>
  <si>
    <t>Embouchures des oueds Chbeyka-Al Wa'er</t>
  </si>
  <si>
    <t>Embochures des Oueds Chbeyka-Al Wa'er</t>
  </si>
  <si>
    <t>(i)(ii)(iii)(iv)(vi)</t>
  </si>
  <si>
    <t>Ogun River</t>
  </si>
  <si>
    <t>NG-LA</t>
  </si>
  <si>
    <t>Mufufya</t>
  </si>
  <si>
    <t>Reserve Intégrale de chasse</t>
  </si>
  <si>
    <t>Integral hunting reserve</t>
  </si>
  <si>
    <t>Institut Congolais pour la Conservation de la Nature (ICCN), Forgotten Parks Foundation (FPF)</t>
  </si>
  <si>
    <t>CD-HK;CD-LU</t>
  </si>
  <si>
    <t>Michiru</t>
  </si>
  <si>
    <t>Department of Forestry</t>
  </si>
  <si>
    <t>MW-S</t>
  </si>
  <si>
    <t>MWI</t>
  </si>
  <si>
    <t>Mchinji</t>
  </si>
  <si>
    <t>MW-C</t>
  </si>
  <si>
    <t>Namizimu</t>
  </si>
  <si>
    <t>Mangochi Palm</t>
  </si>
  <si>
    <t>Virunga National Park</t>
  </si>
  <si>
    <t>(vii)(viii)(x)</t>
  </si>
  <si>
    <t>Kahuzi-Biega National Park</t>
  </si>
  <si>
    <t>Parc national de Kahuzi-Biega</t>
  </si>
  <si>
    <t>(x)</t>
  </si>
  <si>
    <t>Selous Game Reserve</t>
  </si>
  <si>
    <t>Réserve de gibier de Selous</t>
  </si>
  <si>
    <t>Banc d'Arguin National Park</t>
  </si>
  <si>
    <t>Parc national du banc d'Arguin</t>
  </si>
  <si>
    <t>Classified Forest Name Unknown (CIV) No.64</t>
  </si>
  <si>
    <t>CI-01</t>
  </si>
  <si>
    <t>Okapi Wildlife Reserve</t>
  </si>
  <si>
    <t>Réserve de faune à okapis</t>
  </si>
  <si>
    <t>Mount Kenya National Park/Natural Forest</t>
  </si>
  <si>
    <t>Parc national/Forêt naturelle du mont Kenya</t>
  </si>
  <si>
    <t>(vii)(ix)</t>
  </si>
  <si>
    <t>Anguededou</t>
  </si>
  <si>
    <t>Classified Forest Name Unknown (CIV) No.76</t>
  </si>
  <si>
    <t>CI-13</t>
  </si>
  <si>
    <t>Rasso</t>
  </si>
  <si>
    <t>CI-16</t>
  </si>
  <si>
    <t>Dogodou</t>
  </si>
  <si>
    <t>CI-15</t>
  </si>
  <si>
    <t>Haute Dodo</t>
  </si>
  <si>
    <t>CI-09</t>
  </si>
  <si>
    <t>Boli</t>
  </si>
  <si>
    <t>CI-05</t>
  </si>
  <si>
    <t>Classified Forest Name Unknown (CIV) No.57</t>
  </si>
  <si>
    <t>Kassa</t>
  </si>
  <si>
    <t>Kavi</t>
  </si>
  <si>
    <t>Classified Forest Name Unknown (CIV) No.66</t>
  </si>
  <si>
    <t>Classified Forest Name Unknown (CIV) No.70</t>
  </si>
  <si>
    <t>Classified Forest Name Unknown (CIV) No.74</t>
  </si>
  <si>
    <t>Kobo</t>
  </si>
  <si>
    <t>Classified Forest Name Unknown (CIV) No.13</t>
  </si>
  <si>
    <t>Classified Forest Name Unknown (CIV) No.15</t>
  </si>
  <si>
    <t>Classified Forest Name Unknown (CIV) No.16</t>
  </si>
  <si>
    <t>Classified Forest Name Unknown (CIV) No.17</t>
  </si>
  <si>
    <t>Classified Forest Name Unknown (CIV) No.19</t>
  </si>
  <si>
    <t>Classified Forest Name Unknown (CIV) No.23</t>
  </si>
  <si>
    <t>Kikuyu Escarpment</t>
  </si>
  <si>
    <t>Tanbi Wetland Complex</t>
  </si>
  <si>
    <t>(i)(ii)(iii)(iv)(viii)</t>
  </si>
  <si>
    <t>GM-B</t>
  </si>
  <si>
    <t>GMB</t>
  </si>
  <si>
    <t>Bangali</t>
  </si>
  <si>
    <t>Escarpment</t>
  </si>
  <si>
    <t>Niumi</t>
  </si>
  <si>
    <t>Niumi National Park</t>
  </si>
  <si>
    <t>Park Management Committee</t>
  </si>
  <si>
    <t>GM-N</t>
  </si>
  <si>
    <t>Timboroa</t>
  </si>
  <si>
    <t>Mount Kenya</t>
  </si>
  <si>
    <t>Maji Mazuri</t>
  </si>
  <si>
    <t>Mount Londiani</t>
  </si>
  <si>
    <t>Eastern Mau</t>
  </si>
  <si>
    <t>Dagoretti</t>
  </si>
  <si>
    <t>Kijabe Hill</t>
  </si>
  <si>
    <t>Ololua</t>
  </si>
  <si>
    <t>Mwachi</t>
  </si>
  <si>
    <t>Nabkoi</t>
  </si>
  <si>
    <t>Kiganjo</t>
  </si>
  <si>
    <t>KE-200</t>
  </si>
  <si>
    <t>Tanbi</t>
  </si>
  <si>
    <t>Tanbi Wetland National Park</t>
  </si>
  <si>
    <t>GM-W</t>
  </si>
  <si>
    <t>Kasane</t>
  </si>
  <si>
    <t>Department of Forestry and Range Resources</t>
  </si>
  <si>
    <t>BW-CH</t>
  </si>
  <si>
    <t>BWA</t>
  </si>
  <si>
    <t>Sibuyu</t>
  </si>
  <si>
    <t>Kasane Extension</t>
  </si>
  <si>
    <t>Kazuma</t>
  </si>
  <si>
    <t>Nata</t>
  </si>
  <si>
    <t>Bird Sanctuary</t>
  </si>
  <si>
    <t>Department of Wildlife and National Parks</t>
  </si>
  <si>
    <t>BW-CE</t>
  </si>
  <si>
    <t>Kaloum</t>
  </si>
  <si>
    <t>GN-C</t>
  </si>
  <si>
    <t>Khabitaye</t>
  </si>
  <si>
    <t>Grandes Chutes</t>
  </si>
  <si>
    <t>Hanshak-Nyongoro Community Conservancy</t>
  </si>
  <si>
    <t>Ishaqbini Hirola Community Conservancy</t>
  </si>
  <si>
    <t>Lake Piso Multiple Sustainable Use Reserve</t>
  </si>
  <si>
    <t>Multiple Sustainable Use Reserve</t>
  </si>
  <si>
    <t>Department of Forest Conservation, Forestry Development Authority</t>
  </si>
  <si>
    <t>LR-CM</t>
  </si>
  <si>
    <t>LBR</t>
  </si>
  <si>
    <t>Margibi Mangrove</t>
  </si>
  <si>
    <t>LR-MG</t>
  </si>
  <si>
    <t>Luano</t>
  </si>
  <si>
    <t>Game Management Area</t>
  </si>
  <si>
    <t>Department of National Parks and Wildlife</t>
  </si>
  <si>
    <t>Malanda</t>
  </si>
  <si>
    <t>ZM-07</t>
  </si>
  <si>
    <t>Kacholola</t>
  </si>
  <si>
    <t>Chipepo</t>
  </si>
  <si>
    <t>Minga</t>
  </si>
  <si>
    <t>Muyama</t>
  </si>
  <si>
    <t>Lusitu Headwaters</t>
  </si>
  <si>
    <t>Dambwa</t>
  </si>
  <si>
    <t>Siinda</t>
  </si>
  <si>
    <t>Forest Reserve Name Unknown (ZMB) No.77</t>
  </si>
  <si>
    <t>Forest Reserve Name Unknown (ZMB) No.98</t>
  </si>
  <si>
    <t>Forest Reserve Name Unknown (ZMB) No.97</t>
  </si>
  <si>
    <t>Zambezi Delta</t>
  </si>
  <si>
    <t>(i)(ii)(iii)(v)(vi)(vii)(viii)</t>
  </si>
  <si>
    <t>MZ-S</t>
  </si>
  <si>
    <t>Achimota Forest</t>
  </si>
  <si>
    <t>Achimota Plantation</t>
  </si>
  <si>
    <t>Mosi oa tunya</t>
  </si>
  <si>
    <t>West Zambezi</t>
  </si>
  <si>
    <t>ZM-01</t>
  </si>
  <si>
    <t>Rufunsa</t>
  </si>
  <si>
    <t>Lower Zambezi</t>
  </si>
  <si>
    <t>Mangrove Nature Reserve or Marine Park</t>
  </si>
  <si>
    <t>CD-KW</t>
  </si>
  <si>
    <t>Luki</t>
  </si>
  <si>
    <t>N'Sele</t>
  </si>
  <si>
    <t>Bas Ogooue</t>
  </si>
  <si>
    <t>GA-3</t>
  </si>
  <si>
    <t>GAB</t>
  </si>
  <si>
    <t>Rio Campo</t>
  </si>
  <si>
    <t>Technical validation not yet political validation</t>
  </si>
  <si>
    <t>GQ-LI</t>
  </si>
  <si>
    <t>GNQ</t>
  </si>
  <si>
    <t>Río Ntem o Campo</t>
  </si>
  <si>
    <t>(ii)(viii)</t>
  </si>
  <si>
    <t>Tana River Primate</t>
  </si>
  <si>
    <t>Yenku</t>
  </si>
  <si>
    <t>GH-CP</t>
  </si>
  <si>
    <t>Komenda Fuelwood</t>
  </si>
  <si>
    <t>Inchaban</t>
  </si>
  <si>
    <t>GH-WP</t>
  </si>
  <si>
    <t>Rio Cacheu Mangroves</t>
  </si>
  <si>
    <t>Parque de tarrafes de Rio Cacheu</t>
  </si>
  <si>
    <t>Natural Park</t>
  </si>
  <si>
    <t>GW-CA</t>
  </si>
  <si>
    <t>Salifo</t>
  </si>
  <si>
    <t>Salifo - Xitole</t>
  </si>
  <si>
    <t>GW-BA</t>
  </si>
  <si>
    <t>Cantanhez Forest</t>
  </si>
  <si>
    <t>GW-TO</t>
  </si>
  <si>
    <t>Parc Naturel des Mangroves du Fleuve Cacheu (PNTC)</t>
  </si>
  <si>
    <t>Parque Natural de Tarrafes de Rio Cacheu</t>
  </si>
  <si>
    <t>(i)(ii)(iii)(iv)(vi)(viii)</t>
  </si>
  <si>
    <t>https://rsis.ramsar.org/ris/2229</t>
  </si>
  <si>
    <t>Tchicapika-Owando</t>
  </si>
  <si>
    <t>(ii)(iii)(iv)(vii)(viii)</t>
  </si>
  <si>
    <t>https://rsis.ramsar.org/ris/2223</t>
  </si>
  <si>
    <t>COG</t>
  </si>
  <si>
    <t>Parc national d'Odzala</t>
  </si>
  <si>
    <t>CG-15;CG-13</t>
  </si>
  <si>
    <t>Réserve de biosphère de la Dimonika</t>
  </si>
  <si>
    <t>Dimonika</t>
  </si>
  <si>
    <t>ACFAP</t>
  </si>
  <si>
    <t>CG-5</t>
  </si>
  <si>
    <t>Tsoulou</t>
  </si>
  <si>
    <t>CG-9</t>
  </si>
  <si>
    <t>Odzala Kokoua</t>
  </si>
  <si>
    <t>ACFAP/APN</t>
  </si>
  <si>
    <t>Léfini</t>
  </si>
  <si>
    <t>CG-14</t>
  </si>
  <si>
    <t>Mont Mavoumbou</t>
  </si>
  <si>
    <t>Lessio-Louna</t>
  </si>
  <si>
    <t>Sanctuaire de Gorilles</t>
  </si>
  <si>
    <t>In Development</t>
  </si>
  <si>
    <t>CG-12</t>
  </si>
  <si>
    <t>Ngyanga Nord</t>
  </si>
  <si>
    <t>Ngyanga Sud</t>
  </si>
  <si>
    <t>Patte d'Oie</t>
  </si>
  <si>
    <t>Réserve de Forêt</t>
  </si>
  <si>
    <t>Mont Fouari</t>
  </si>
  <si>
    <t>Domaine de Protection Absolue</t>
  </si>
  <si>
    <t>Area of Absolute Protection</t>
  </si>
  <si>
    <t>Grands affluents</t>
  </si>
  <si>
    <t>https://rsis.ramsar.org/ris/1742</t>
  </si>
  <si>
    <t>CG-14;CG-8;CG-13;CG-7</t>
  </si>
  <si>
    <t>Les Rapides du Congo-Djoué</t>
  </si>
  <si>
    <t>(i)(iii)(iv)(vii)(viii)</t>
  </si>
  <si>
    <t>https://rsis.ramsar.org/ris/1857</t>
  </si>
  <si>
    <t>CG-BZV</t>
  </si>
  <si>
    <t>Sangha-Nouabalé-Ndoki</t>
  </si>
  <si>
    <t>https://rsis.ramsar.org/ris/1858</t>
  </si>
  <si>
    <t>CG-13; CG-7</t>
  </si>
  <si>
    <t>https://rsis.ramsar.org/ris/2080</t>
  </si>
  <si>
    <t>Vallée du Niari</t>
  </si>
  <si>
    <t>https://rsis.ramsar.org/ris/2221</t>
  </si>
  <si>
    <t>Loubetsi-Nyanga</t>
  </si>
  <si>
    <t>Lureco</t>
  </si>
  <si>
    <t>Nungo</t>
  </si>
  <si>
    <t>9035_B</t>
  </si>
  <si>
    <t>Quirimbas</t>
  </si>
  <si>
    <t>V</t>
  </si>
  <si>
    <t>http://www.anac.gov.mz/wp-content/uploads/2017/07/Plano-de-Maneio-Quirimbas.pdf</t>
  </si>
  <si>
    <t>Partie camerounaise du fleuve Sangha</t>
  </si>
  <si>
    <t>(ii)(iii)(iv)</t>
  </si>
  <si>
    <t>Gonohun</t>
  </si>
  <si>
    <t>Victoria Falls</t>
  </si>
  <si>
    <t>ZW-MN</t>
  </si>
  <si>
    <t>Mana Pools</t>
  </si>
  <si>
    <t>Chinhoyi Caves</t>
  </si>
  <si>
    <t>Recreation Park</t>
  </si>
  <si>
    <t>ZW-MW</t>
  </si>
  <si>
    <t>Mbembesi</t>
  </si>
  <si>
    <t>State Forest</t>
  </si>
  <si>
    <t>Buffalo partial reserve</t>
  </si>
  <si>
    <t>Reserva parcial do Bufalo</t>
  </si>
  <si>
    <t>Partial Reserve</t>
  </si>
  <si>
    <t>AO-BGU</t>
  </si>
  <si>
    <t>AGO</t>
  </si>
  <si>
    <t>Namibe Partial Reserve</t>
  </si>
  <si>
    <t>Reserva Parcial do Namibe</t>
  </si>
  <si>
    <t>AO-NAM</t>
  </si>
  <si>
    <t>Cameia National Park</t>
  </si>
  <si>
    <t>Parque Nacional da Cameia</t>
  </si>
  <si>
    <t>AO-MOX</t>
  </si>
  <si>
    <t>Pingano Mountain Range</t>
  </si>
  <si>
    <t>Serra do Pingano</t>
  </si>
  <si>
    <t>Mountain Range</t>
  </si>
  <si>
    <t>Victoria Falls National Park</t>
  </si>
  <si>
    <t>Driefontein Grasslands</t>
  </si>
  <si>
    <t>(ii)</t>
  </si>
  <si>
    <t>Environmental Management Agency</t>
  </si>
  <si>
    <t>https://rsis.ramsar.org/ris/2104</t>
  </si>
  <si>
    <t>Hwange</t>
  </si>
  <si>
    <t>Zambezi</t>
  </si>
  <si>
    <t>Charara</t>
  </si>
  <si>
    <t>Safari Area</t>
  </si>
  <si>
    <t>Hurungwe</t>
  </si>
  <si>
    <t>Matetsi</t>
  </si>
  <si>
    <t>Fuller</t>
  </si>
  <si>
    <t>Deka</t>
  </si>
  <si>
    <t>Gwayi</t>
  </si>
  <si>
    <t>Sikumi</t>
  </si>
  <si>
    <t>Umgusa</t>
  </si>
  <si>
    <t>Forest Reserve Name Unknown (ZWE) No.1</t>
  </si>
  <si>
    <t>Unknown 4</t>
  </si>
  <si>
    <t>Unknown 5</t>
  </si>
  <si>
    <t>Chidobe</t>
  </si>
  <si>
    <t>Kachecheti</t>
  </si>
  <si>
    <t>Mtetengwe 3</t>
  </si>
  <si>
    <t>ZW-MS</t>
  </si>
  <si>
    <t>Nekatambe</t>
  </si>
  <si>
    <t>Nyamakate Village</t>
  </si>
  <si>
    <t>Bubye Valley Conservancy</t>
  </si>
  <si>
    <t>Etosha Pan, Lake Oponono &amp; Cuvelai drainage</t>
  </si>
  <si>
    <t>NA-OT</t>
  </si>
  <si>
    <t>NAM</t>
  </si>
  <si>
    <t>Cross River North</t>
  </si>
  <si>
    <t>NG-CR</t>
  </si>
  <si>
    <t>Mosi-oa-Tunya / Victoria Falls</t>
  </si>
  <si>
    <t>Mosi-oa-Tunya / Chutes Victoria</t>
  </si>
  <si>
    <t>ZM-07;ZW-MN</t>
  </si>
  <si>
    <t>ZMB;ZWE</t>
  </si>
  <si>
    <t>Rapide Grah</t>
  </si>
  <si>
    <t>Monogaga</t>
  </si>
  <si>
    <t>Dassieko</t>
  </si>
  <si>
    <t>Dorob</t>
  </si>
  <si>
    <t>NA-ER</t>
  </si>
  <si>
    <t>Witu</t>
  </si>
  <si>
    <t>Mayuni</t>
  </si>
  <si>
    <t>Communal Conservancy</t>
  </si>
  <si>
    <t>NA-ZA</t>
  </si>
  <si>
    <t>Mashi</t>
  </si>
  <si>
    <t>Kwandu</t>
  </si>
  <si>
    <t>Gamaseb</t>
  </si>
  <si>
    <t>NA-KA</t>
  </si>
  <si>
    <t>Khob Naub</t>
  </si>
  <si>
    <t>Joseph Mbambangandu</t>
  </si>
  <si>
    <t>NA-OK</t>
  </si>
  <si>
    <t>Impalila</t>
  </si>
  <si>
    <t>Gawachab</t>
  </si>
  <si>
    <t>King Nehale</t>
  </si>
  <si>
    <t>Gaingu</t>
  </si>
  <si>
    <t>Sobbe</t>
  </si>
  <si>
    <t>Kahenge</t>
  </si>
  <si>
    <t>Community Forest</t>
  </si>
  <si>
    <t>Masida</t>
  </si>
  <si>
    <t>Etosha</t>
  </si>
  <si>
    <t>Von Bach Recreation Resort</t>
  </si>
  <si>
    <t>NA-OD</t>
  </si>
  <si>
    <t>Bwabwata</t>
  </si>
  <si>
    <t>Ministry of Environment, Forestry and Tourism</t>
  </si>
  <si>
    <t>https://www.meft.gov.na/national-parks/management-plan-2-bwabwata-national-park-/3281/</t>
  </si>
  <si>
    <t>NA-OK;NA-CA</t>
  </si>
  <si>
    <t>Gondwana</t>
  </si>
  <si>
    <t>Private Reserve</t>
  </si>
  <si>
    <t>Individual landowners</t>
  </si>
  <si>
    <t>Maurus Nekaro</t>
  </si>
  <si>
    <t>Kapinga KaMwalye</t>
  </si>
  <si>
    <t>Panda Nguo</t>
  </si>
  <si>
    <t>Boni Ijara</t>
  </si>
  <si>
    <t>Mangrove Swamps</t>
  </si>
  <si>
    <t>Lourens River Protected Natural Environment</t>
  </si>
  <si>
    <t>Protected Environment</t>
  </si>
  <si>
    <t>Cape Nature</t>
  </si>
  <si>
    <t>ZA-WC</t>
  </si>
  <si>
    <t>ZAF</t>
  </si>
  <si>
    <t>Robinson's Bush Nature Reserve</t>
  </si>
  <si>
    <t>Ezemvelo KwaZulu-Natal Wildlife (EKZNW)</t>
  </si>
  <si>
    <t>ZA-NL</t>
  </si>
  <si>
    <t>Matroosberg Mountain Catchment Area</t>
  </si>
  <si>
    <t>Mountain Catchment Area</t>
  </si>
  <si>
    <t>Private Owners</t>
  </si>
  <si>
    <t>Magaliesberg Protected Natural Environment</t>
  </si>
  <si>
    <t>Gauteng Department of Agriculture &amp; Rural Development (GDARD)</t>
  </si>
  <si>
    <t>ZA-GP</t>
  </si>
  <si>
    <t>Ditholo Nature Reserve</t>
  </si>
  <si>
    <t>Bothasvley Nature Reserve</t>
  </si>
  <si>
    <t>Limpopo Department of Economic Development, Environment and Tourism (LEDET)</t>
  </si>
  <si>
    <t>ZA-LP</t>
  </si>
  <si>
    <t>Knysna National Lake Area</t>
  </si>
  <si>
    <t>Keurbooms River Nature Reserve</t>
  </si>
  <si>
    <t>Cape Floral Region Protected Areas</t>
  </si>
  <si>
    <t>Aires protégées de la Région florale du Cap</t>
  </si>
  <si>
    <t>ZA-WC;ZA-EC</t>
  </si>
  <si>
    <t>Cecilia Private Nature Reserve</t>
  </si>
  <si>
    <t>ZA-MP</t>
  </si>
  <si>
    <t>Austin Roberts Bird Sanctuary</t>
  </si>
  <si>
    <t>City of Tshwane Metropolitan Municipality</t>
  </si>
  <si>
    <t>Webtex Estates Private Nature Reserve</t>
  </si>
  <si>
    <t>Hawequas Mountain Catchment Area</t>
  </si>
  <si>
    <t>Winterhoek Mountain Catchment Area</t>
  </si>
  <si>
    <t>Ngele Nature Reserve</t>
  </si>
  <si>
    <t>Forest Nature Reserve</t>
  </si>
  <si>
    <t>KwaZulu-Natal Nature Conservation Board</t>
  </si>
  <si>
    <t>ZA-EC</t>
  </si>
  <si>
    <t>Goukamma Provincial Nature Reserve</t>
  </si>
  <si>
    <t>Percy Fyfe Nature Reserve</t>
  </si>
  <si>
    <t>Limpopo Tourism Parks Board</t>
  </si>
  <si>
    <t>Queen Elizabeth Park Nature Reserve</t>
  </si>
  <si>
    <t>Sterkfontein Dam Nature Reserve</t>
  </si>
  <si>
    <t>Free State Department of Environmental Affairs</t>
  </si>
  <si>
    <t>ZA-FS</t>
  </si>
  <si>
    <t>Olifantsvlei Nature Reserve</t>
  </si>
  <si>
    <t>City of Johannesburg Metropolitan Municipality</t>
  </si>
  <si>
    <t>Van Stadens River Wild Flower Reserve</t>
  </si>
  <si>
    <t>Port Elizabeth Regional Services Council</t>
  </si>
  <si>
    <t>Ahlers Private Nature Reserve</t>
  </si>
  <si>
    <t>Avarel Private Nature Reserve</t>
  </si>
  <si>
    <t>Blijdschap Private Nature Reserve</t>
  </si>
  <si>
    <t>Cape Peninsula Nature Area</t>
  </si>
  <si>
    <t>South African National Parks</t>
  </si>
  <si>
    <t>Colbyn Wetland Nature Reserve</t>
  </si>
  <si>
    <t>Kliprivier Private Nature Reserve</t>
  </si>
  <si>
    <t>Glenesk Private Nature Reserve</t>
  </si>
  <si>
    <t>H. L. Crause Private Nature Reserve</t>
  </si>
  <si>
    <t>Heidelberg Nature Reserve</t>
  </si>
  <si>
    <t>Hessequa Municipality</t>
  </si>
  <si>
    <t>Loch Athlone Bird Sanctuary</t>
  </si>
  <si>
    <t>Dihlabeng Local Municipality</t>
  </si>
  <si>
    <t>Naboom Private Nature Reserve</t>
  </si>
  <si>
    <t>Vaalbank Private Nature Reserve</t>
  </si>
  <si>
    <t>Rissik Private Nature Reserve</t>
  </si>
  <si>
    <t>Red Acres Private Nature Reserve</t>
  </si>
  <si>
    <t>S. J. van der Merwe Private Nature Reserve</t>
  </si>
  <si>
    <t>Vlakplaats Private Nature Reserve</t>
  </si>
  <si>
    <t>Zasm Falls Nature Reserve</t>
  </si>
  <si>
    <t>Waterval Boven Municipality</t>
  </si>
  <si>
    <t>Witbank Nature Reserve</t>
  </si>
  <si>
    <t>J. N. Van Der Merwe Private Nature Reserve</t>
  </si>
  <si>
    <t>Kareefontein Private Nature Reserve</t>
  </si>
  <si>
    <t>Woodland Hills Golf and Wildlife Estate</t>
  </si>
  <si>
    <t>Zuid Wolhuterskop 670</t>
  </si>
  <si>
    <t>Kleinbaai Private Nature Reserve</t>
  </si>
  <si>
    <t>Kiaruna Private Nature Reserve</t>
  </si>
  <si>
    <t>Knersvlakte Nature Reserve</t>
  </si>
  <si>
    <t>Western Cape Nature Conservation Board (CapeNature)</t>
  </si>
  <si>
    <t>Sondersorg Nature Reserve</t>
  </si>
  <si>
    <t>Vyeboom Private Nature Reserve</t>
  </si>
  <si>
    <t>Kgaswane Mountain Nature Reserve</t>
  </si>
  <si>
    <t>North West Parks Board</t>
  </si>
  <si>
    <t>ZA-NW</t>
  </si>
  <si>
    <t>uThukela Marine Protected Area</t>
  </si>
  <si>
    <t>Boabab Private Nature Reserve</t>
  </si>
  <si>
    <t>Glen Lyon Nature Reserve</t>
  </si>
  <si>
    <t>Orange River Consolidated Properties (PTY) LTD</t>
  </si>
  <si>
    <t>ZA-NC</t>
  </si>
  <si>
    <t>Platberg Private Nature Reserve</t>
  </si>
  <si>
    <t>De Onderstepoort Nature Reserve</t>
  </si>
  <si>
    <t>Addo Elephant Marine Protected Area</t>
  </si>
  <si>
    <t>Nambiti Private Game Reserve</t>
  </si>
  <si>
    <t>Nambiti Private Game Reserve (Pty) Ltd</t>
  </si>
  <si>
    <t>Hottentots-Holland Mountain Catchment Area</t>
  </si>
  <si>
    <t>Blue Crane Nature Reserve</t>
  </si>
  <si>
    <t>Jackson Trust</t>
  </si>
  <si>
    <t>Kgaswane Mountain Reserve</t>
  </si>
  <si>
    <t>Paradise Valley Nature Reserve</t>
  </si>
  <si>
    <t>eThekwini Metropolitan Municipality</t>
  </si>
  <si>
    <t>Mkhothane Protected Environment</t>
  </si>
  <si>
    <t>Wilderness National Lake Area</t>
  </si>
  <si>
    <t>Voortrekker Monument Nature Reserve</t>
  </si>
  <si>
    <t>Garden Route National Park</t>
  </si>
  <si>
    <t>Bontebok National Park</t>
  </si>
  <si>
    <t>Vaalbos National Park</t>
  </si>
  <si>
    <t>Table Mountain National Park</t>
  </si>
  <si>
    <t>Northern Drakensberg Nature Reserve</t>
  </si>
  <si>
    <t>Indalo Protected Environment</t>
  </si>
  <si>
    <t>Indalo Association</t>
  </si>
  <si>
    <t>Chrissiesmeer Protected Environment</t>
  </si>
  <si>
    <t>The Chrissiesmeer Protected Environment Landowners Association</t>
  </si>
  <si>
    <t>Western Soutpansberg Nature Reserve</t>
  </si>
  <si>
    <t>Addo Elephant National Park</t>
  </si>
  <si>
    <t>Addo-Elephant National Park</t>
  </si>
  <si>
    <t>Project lines crossing PCAs</t>
  </si>
  <si>
    <t>Number of PCAs in C.Africa</t>
  </si>
  <si>
    <t>Number of KBAs in C.Africa</t>
  </si>
  <si>
    <t>Number KBAs in ACD_HM</t>
  </si>
  <si>
    <t>Number PCAs in ACD_HM</t>
  </si>
  <si>
    <t>Of all km2 PCAs in C.Africa</t>
  </si>
  <si>
    <t>Area PCAs in C.Africa (km2)</t>
  </si>
  <si>
    <t>Area WDPA ACD_HM (km2)</t>
  </si>
  <si>
    <t>Area C.Africa (km2)</t>
  </si>
  <si>
    <t>Area KBA (km2)</t>
  </si>
  <si>
    <t>Area KBA nonPCA in ACDHM (km2)</t>
  </si>
  <si>
    <t>Area KBA inPCA in ACDHM (km2)</t>
  </si>
  <si>
    <t>Area KBA  in ACDHM (km2)</t>
  </si>
  <si>
    <t>Of all km2 KBAs in ACDHM</t>
  </si>
  <si>
    <t>Of all km2  KBAs in ACDHM</t>
  </si>
  <si>
    <t>Of all km2 KBA in C.Africa</t>
  </si>
  <si>
    <t>All PCAs in continental africa</t>
  </si>
  <si>
    <t>All KBAs in continental africa</t>
  </si>
  <si>
    <t>Measured in GIS</t>
  </si>
  <si>
    <t>Measured in Africa Albers Equal Area Conic projection</t>
  </si>
  <si>
    <t>Metric</t>
  </si>
  <si>
    <t>Project lines crossing KBAs</t>
  </si>
  <si>
    <t>Increase KBA numbers</t>
  </si>
  <si>
    <t>Increase in PCA numbers</t>
  </si>
  <si>
    <t>Iona National Park</t>
  </si>
  <si>
    <t>sitrecid</t>
  </si>
  <si>
    <t>intname</t>
  </si>
  <si>
    <t>natname</t>
  </si>
  <si>
    <t>azestatus</t>
  </si>
  <si>
    <t>sitlat</t>
  </si>
  <si>
    <t>sitlong</t>
  </si>
  <si>
    <t>sitarea</t>
  </si>
  <si>
    <t>country</t>
  </si>
  <si>
    <t>iso3</t>
  </si>
  <si>
    <t>Caconda</t>
  </si>
  <si>
    <t>Angola</t>
  </si>
  <si>
    <t>Camabatela</t>
  </si>
  <si>
    <t>Cuango</t>
  </si>
  <si>
    <t>Lago Carumbo</t>
  </si>
  <si>
    <t>Luachimo River (Chitato)</t>
  </si>
  <si>
    <t>Tundavala</t>
  </si>
  <si>
    <t>Ouagadougou forest</t>
  </si>
  <si>
    <t>Burkina Faso</t>
  </si>
  <si>
    <t>Bérégadougou hill</t>
  </si>
  <si>
    <t>Rusizi National Park</t>
  </si>
  <si>
    <t>Burundi</t>
  </si>
  <si>
    <t>Lake Nokoué</t>
  </si>
  <si>
    <t>Benin</t>
  </si>
  <si>
    <t>Lake Ahémé and Aho complex</t>
  </si>
  <si>
    <t>Makgadikgadi Pans</t>
  </si>
  <si>
    <t>Botswana</t>
  </si>
  <si>
    <t>South-east Botswana</t>
  </si>
  <si>
    <t>Réserve de Faune à Okapis</t>
  </si>
  <si>
    <t>Congo, The Democratic Republic of the</t>
  </si>
  <si>
    <t>Virunga national Park</t>
  </si>
  <si>
    <t>Parc National de Virunga</t>
  </si>
  <si>
    <t>Kahuzi-Biega national Park</t>
  </si>
  <si>
    <t>Parc National des Kahuzi-Biega</t>
  </si>
  <si>
    <t>Bangui</t>
  </si>
  <si>
    <t>Central African Republic</t>
  </si>
  <si>
    <t>Dzanga-Ndoki National Park</t>
  </si>
  <si>
    <t>Odzala- Kokoua National Park</t>
  </si>
  <si>
    <t>Parc National d'Odzala-Kokoua</t>
  </si>
  <si>
    <t>Congo</t>
  </si>
  <si>
    <t>Léfini Faunal Reserve and Lesio-Louna Gorilla Natural Reserve</t>
  </si>
  <si>
    <t>Dimonika Biosphere Reserve</t>
  </si>
  <si>
    <t>Réserve de Biosphère de Dimonika</t>
  </si>
  <si>
    <t>Yapo and Mambo Forest Reserves</t>
  </si>
  <si>
    <t>Forêt Classée de Yapo et Mambo</t>
  </si>
  <si>
    <t>Côte d'Ivoire</t>
  </si>
  <si>
    <t>Logone flood-plain</t>
  </si>
  <si>
    <t>Cameroon</t>
  </si>
  <si>
    <t>Bénoué National Park</t>
  </si>
  <si>
    <t>Lobéké National Park</t>
  </si>
  <si>
    <t>Ali Sabieh - Assâmo</t>
  </si>
  <si>
    <t>Djibouti</t>
  </si>
  <si>
    <t>Barrage de Boughzoul</t>
  </si>
  <si>
    <t>Algeria</t>
  </si>
  <si>
    <t>Marais de la Macta</t>
  </si>
  <si>
    <t>Parc National de l'Ahaggar</t>
  </si>
  <si>
    <t>Fogera plains</t>
  </si>
  <si>
    <t>Ethiopia</t>
  </si>
  <si>
    <t>Bahir Dar - Lake Tana</t>
  </si>
  <si>
    <t>Yangudi-Rassa National Park</t>
  </si>
  <si>
    <t>Awi Zone</t>
  </si>
  <si>
    <t>Entoto Natural Park and escarpment</t>
  </si>
  <si>
    <t>Sululta plain</t>
  </si>
  <si>
    <t>Awash National Park</t>
  </si>
  <si>
    <t>Akaki - Aba-Samuel wetlands</t>
  </si>
  <si>
    <t>Chelekleka lake and swamp</t>
  </si>
  <si>
    <t>Abijatta - Shalla Lakes National Park</t>
  </si>
  <si>
    <t>Cape Three Points Forest Reserve</t>
  </si>
  <si>
    <t>Ghana</t>
  </si>
  <si>
    <t>Gambaga Scarp (East) Forest Reserve</t>
  </si>
  <si>
    <t>Shai Hills Resource Reserve</t>
  </si>
  <si>
    <t>Amansuri wetland</t>
  </si>
  <si>
    <t>Sakumo Lagoon Ramsar Site and vicinity</t>
  </si>
  <si>
    <t>Tanbi wetland complex</t>
  </si>
  <si>
    <t>Gambia</t>
  </si>
  <si>
    <t>Kabitaï</t>
  </si>
  <si>
    <t>Guinea</t>
  </si>
  <si>
    <t>Konkouré</t>
  </si>
  <si>
    <t>Rio Mansôa and Gêba estuary</t>
  </si>
  <si>
    <t>Guinea-Bissau</t>
  </si>
  <si>
    <t>Dulombi</t>
  </si>
  <si>
    <t>Cantanhez forests</t>
  </si>
  <si>
    <t>Kikuyu Escarpment forest</t>
  </si>
  <si>
    <t>Kenya</t>
  </si>
  <si>
    <t>Kinangop grasslands</t>
  </si>
  <si>
    <t>Mukurweini valleys</t>
  </si>
  <si>
    <t>Tana River Delta</t>
  </si>
  <si>
    <t>Lower Tana River Forests</t>
  </si>
  <si>
    <t>Tsavo East National Park</t>
  </si>
  <si>
    <t>Tsavo West National Park</t>
  </si>
  <si>
    <t>Dida Galgalu desert</t>
  </si>
  <si>
    <t>Meru National Park</t>
  </si>
  <si>
    <t>Nairobi National Park</t>
  </si>
  <si>
    <t>Masai Mara</t>
  </si>
  <si>
    <t>Mau forest complex</t>
  </si>
  <si>
    <t>Cestos - Senkwen</t>
  </si>
  <si>
    <t>Liberia</t>
  </si>
  <si>
    <t>Jabal al Akhdar</t>
  </si>
  <si>
    <t>Libya</t>
  </si>
  <si>
    <t>LBY</t>
  </si>
  <si>
    <t>Bumbah Gulf</t>
  </si>
  <si>
    <t>Nefhusa</t>
  </si>
  <si>
    <t>Parc National de Souss-Massa and Aglou</t>
  </si>
  <si>
    <t>Morocco</t>
  </si>
  <si>
    <t>Oued Chebeika</t>
  </si>
  <si>
    <t>Lagune de Khnifiss</t>
  </si>
  <si>
    <t>Zone Humide de Laayoune</t>
  </si>
  <si>
    <t>Pointe d'Awfist</t>
  </si>
  <si>
    <t>Baie d'Ad Dakhla</t>
  </si>
  <si>
    <t>Dakhla area</t>
  </si>
  <si>
    <t>Cap Blanc</t>
  </si>
  <si>
    <t>Mauritania</t>
  </si>
  <si>
    <t>Aftout es Sâheli</t>
  </si>
  <si>
    <t>Namizimu Forest Reserve</t>
  </si>
  <si>
    <t>Malawi</t>
  </si>
  <si>
    <t>Eastern Caprivi wetlands</t>
  </si>
  <si>
    <t>Namibia</t>
  </si>
  <si>
    <t>Mahango Game Reserve and Kavango river</t>
  </si>
  <si>
    <t>30-Kilometre Beach: Walvis - Swakopmund</t>
  </si>
  <si>
    <t>Makalondi district</t>
  </si>
  <si>
    <t>Niger</t>
  </si>
  <si>
    <t>Omo Forest Reserve</t>
  </si>
  <si>
    <t>Nigeria</t>
  </si>
  <si>
    <t>Gezira</t>
  </si>
  <si>
    <t>Sudan</t>
  </si>
  <si>
    <t>SDN</t>
  </si>
  <si>
    <t>Jebel Marra</t>
  </si>
  <si>
    <t>En Nahud</t>
  </si>
  <si>
    <t>Sudd (Bahr-el-Jebel system)</t>
  </si>
  <si>
    <t>South Sudan</t>
  </si>
  <si>
    <t>Bandingilo</t>
  </si>
  <si>
    <t>Imatong mountains</t>
  </si>
  <si>
    <t>Kidepo</t>
  </si>
  <si>
    <t>Ndiaël basin (including the Trois Marigots)</t>
  </si>
  <si>
    <t>Senegal</t>
  </si>
  <si>
    <t>River Sénégal (Ntiagar to Richard-Toll)</t>
  </si>
  <si>
    <t>Guembeul Avifaunal Reserve and St Louis lagoons</t>
  </si>
  <si>
    <t>Niayes (from Dakar to St Louis)</t>
  </si>
  <si>
    <t>Ouadi Rimé - Ouadi Achim</t>
  </si>
  <si>
    <t>Chad</t>
  </si>
  <si>
    <t>Kéran National Park</t>
  </si>
  <si>
    <t>Togo</t>
  </si>
  <si>
    <t>Fazao-Malfakassa National Park</t>
  </si>
  <si>
    <t>Tunisia</t>
  </si>
  <si>
    <t>Tanzania</t>
  </si>
  <si>
    <t>Burigi - Biharamulo Game Reserves</t>
  </si>
  <si>
    <t>Lake Burungi</t>
  </si>
  <si>
    <t>Dar es Salaam coast</t>
  </si>
  <si>
    <t>Kilombero Valley</t>
  </si>
  <si>
    <t>Mtera reservoir</t>
  </si>
  <si>
    <t>Nyumba ya Mungu reservoir</t>
  </si>
  <si>
    <t>Singida lakes</t>
  </si>
  <si>
    <t>Lake Victoria: Mwanza Gulf</t>
  </si>
  <si>
    <t>Wembere steppe</t>
  </si>
  <si>
    <t>Bagamoyo District Coastal Forests</t>
  </si>
  <si>
    <t>Kisarawe District Coastal Forests</t>
  </si>
  <si>
    <t>Handeni District Coastal Forests</t>
  </si>
  <si>
    <t>Uvidunda Mountains</t>
  </si>
  <si>
    <t>Longido Game Controlled Area</t>
  </si>
  <si>
    <t>Kibale National Park</t>
  </si>
  <si>
    <t>Uganda</t>
  </si>
  <si>
    <t>Queen Elizabeth National Park and Lake George</t>
  </si>
  <si>
    <t>Mabira Forest Reserve</t>
  </si>
  <si>
    <t>Mabamba Bay</t>
  </si>
  <si>
    <t>Nyl River Floodplain</t>
  </si>
  <si>
    <t>South Africa</t>
  </si>
  <si>
    <t>Mosi-Oa-Tunya National Park and Batoka Gorge</t>
  </si>
  <si>
    <t>Zambia</t>
  </si>
  <si>
    <t>Chisamba</t>
  </si>
  <si>
    <t>Lower Zambezi National Park</t>
  </si>
  <si>
    <t>Hwange National Park</t>
  </si>
  <si>
    <t>Zimbabwe</t>
  </si>
  <si>
    <t>Batoka Gorge</t>
  </si>
  <si>
    <t>Middle Zambezi Valley</t>
  </si>
  <si>
    <t>Driefontein grasslands</t>
  </si>
  <si>
    <t>Cestos Gbi</t>
  </si>
  <si>
    <t>Cestos-Sapo North Corridor forest blocks</t>
  </si>
  <si>
    <t>Cestos-Sapo South Corridor forest block</t>
  </si>
  <si>
    <t>Sapo - Grebo Corridor</t>
  </si>
  <si>
    <t>Lunghi Forest</t>
  </si>
  <si>
    <t>Mwache Forest Reserve</t>
  </si>
  <si>
    <t>Witu Forest Reserve</t>
  </si>
  <si>
    <t>Bagamoyo (Kikoka Forest Reserve)</t>
  </si>
  <si>
    <t>Lindi (Nyangao River)</t>
  </si>
  <si>
    <t>Udzungwa Mountain Range</t>
  </si>
  <si>
    <t>Kasyoha-Kitomi Forest Reserve</t>
  </si>
  <si>
    <t>Simungoma</t>
  </si>
  <si>
    <t>Bugoma Forest Reserve</t>
  </si>
  <si>
    <t>Adiopodoume</t>
  </si>
  <si>
    <t>Alledeghi Wildlife Reserve</t>
  </si>
  <si>
    <t>Mount Guna</t>
  </si>
  <si>
    <t>Gishwati</t>
  </si>
  <si>
    <t>Rwanda</t>
  </si>
  <si>
    <t>Kibimba Rice Scheme</t>
  </si>
  <si>
    <t>Matiri Forest Reserve</t>
  </si>
  <si>
    <t>Matthews Range</t>
  </si>
  <si>
    <t>Jello Muktar</t>
  </si>
  <si>
    <t>Mega Mountains</t>
  </si>
  <si>
    <t>Oued Maltine</t>
  </si>
  <si>
    <t>Sebkhet Qasr Ahmed (Taworgha)</t>
  </si>
  <si>
    <t>Dedza Forest Reserve</t>
  </si>
  <si>
    <t>Kalinzu Forest Reserve</t>
  </si>
  <si>
    <t>Wadela (Wadila)</t>
  </si>
  <si>
    <t>Dunes d'Essaouira</t>
  </si>
  <si>
    <t>Constantine</t>
  </si>
  <si>
    <t>Cyrenaican Peninsula</t>
  </si>
  <si>
    <t>El Kala - Tarf</t>
  </si>
  <si>
    <t>Dayas d'Essaouira</t>
  </si>
  <si>
    <t>Egypt</t>
  </si>
  <si>
    <t>Farwa Island</t>
  </si>
  <si>
    <t>Gulf of Sirte</t>
  </si>
  <si>
    <t>Maamora</t>
  </si>
  <si>
    <t>Tawuoryhe Sebkha</t>
  </si>
  <si>
    <t>Benghazi Coast</t>
  </si>
  <si>
    <t>Mthatha - Tsolo</t>
  </si>
  <si>
    <t>Maputo north</t>
  </si>
  <si>
    <t>Mozambique</t>
  </si>
  <si>
    <t>Delta du Saloum – Niumi – Tanbi</t>
  </si>
  <si>
    <t>Canary current shelf 2</t>
  </si>
  <si>
    <t>Djebel Amour</t>
  </si>
  <si>
    <t>Numidie occidentale</t>
  </si>
  <si>
    <t>Ras El Hekma coastal dunes</t>
  </si>
  <si>
    <t>Sallum area</t>
  </si>
  <si>
    <t>Oued Bouhlou</t>
  </si>
  <si>
    <t>Garaet Sejnane</t>
  </si>
  <si>
    <t>Jbel Bou Kornine</t>
  </si>
  <si>
    <t>Sebkhet Halk El Menzel et Oued Sed</t>
  </si>
  <si>
    <t>Chaîne des Bibans</t>
  </si>
  <si>
    <t>Oued Tizguite et Oued Ouaslane</t>
  </si>
  <si>
    <t>Monts des Traras</t>
  </si>
  <si>
    <t>Maden River</t>
  </si>
  <si>
    <t>Côte Imsouane - Taghazout</t>
  </si>
  <si>
    <t>Lake Kijanabalola</t>
  </si>
  <si>
    <t>Lake Wamala Catchment</t>
  </si>
  <si>
    <t>Nyabarongo River</t>
  </si>
  <si>
    <t>Buikwe</t>
  </si>
  <si>
    <t>Kitale West</t>
  </si>
  <si>
    <t>Weeni creek and associated hydrobasin</t>
  </si>
  <si>
    <t>Upper Shire</t>
  </si>
  <si>
    <t>Gorongosa National Park and Marromeu Complex</t>
  </si>
  <si>
    <t>Parque Nacional de Gorongosa  e Complexo de Marromeu</t>
  </si>
  <si>
    <t>Lake Kivu catchment</t>
  </si>
  <si>
    <t>Congo, The Democratic Republic of the, Rwanda</t>
  </si>
  <si>
    <t>COD, RWA</t>
  </si>
  <si>
    <t>South Akagera</t>
  </si>
  <si>
    <t>Rwanda, Tanzania</t>
  </si>
  <si>
    <t>RWA, TZA</t>
  </si>
  <si>
    <t>Ngombé-Epoma</t>
  </si>
  <si>
    <t>Kabo, Loundougou-Toukoulaka, and Pokola</t>
  </si>
  <si>
    <t>CIB concessions East of the Sangha</t>
  </si>
  <si>
    <t>Jua-Ikié</t>
  </si>
  <si>
    <t>Tala-Tala</t>
  </si>
  <si>
    <t>Lower Ogooué</t>
  </si>
  <si>
    <t>Bas-Ogooué</t>
  </si>
  <si>
    <t>Gabon</t>
  </si>
  <si>
    <t>Addo Elephant National Park and Surrounds</t>
  </si>
  <si>
    <t>Albany Interior</t>
  </si>
  <si>
    <t>Ashburton</t>
  </si>
  <si>
    <t>Barberton Mountains</t>
  </si>
  <si>
    <t>Boland Mountain Complex</t>
  </si>
  <si>
    <t>Bot River</t>
  </si>
  <si>
    <t>Buffalo City Coast</t>
  </si>
  <si>
    <t>Buffalo City Interior</t>
  </si>
  <si>
    <t>Caledon Swartberg</t>
  </si>
  <si>
    <t>Cape Flats</t>
  </si>
  <si>
    <t>Chelmsford - Dundee</t>
  </si>
  <si>
    <t>Chrissie Pans</t>
  </si>
  <si>
    <t>Clanwilliam</t>
  </si>
  <si>
    <t>Cradle of Humankind</t>
  </si>
  <si>
    <t>Crocodile Gorge</t>
  </si>
  <si>
    <t>Devon Grasslands</t>
  </si>
  <si>
    <t>Durbanville</t>
  </si>
  <si>
    <t>Eastern Free State Grasslands</t>
  </si>
  <si>
    <t>Eastern Gamka Karoo</t>
  </si>
  <si>
    <t>False Bay Coast</t>
  </si>
  <si>
    <t>Great Fish River Nature Reserve Complex</t>
  </si>
  <si>
    <t>Garden Route</t>
  </si>
  <si>
    <t>Gariep Desert</t>
  </si>
  <si>
    <t>Giba Gorge - Marianhill</t>
  </si>
  <si>
    <t>Gouritz Cluster - Canca Coast</t>
  </si>
  <si>
    <t>Gouritz Cluster - Heidelberg Ruens Renosterveld</t>
  </si>
  <si>
    <t>Gouritz Cluster - Langeberg Foothills</t>
  </si>
  <si>
    <t>Gouritz Cluster - Riversdale</t>
  </si>
  <si>
    <t>Gouritz Cluster - Mossel Bay</t>
  </si>
  <si>
    <t>Gouritz Cluster - Swellendam</t>
  </si>
  <si>
    <t>Gouritz Cluster - Witteberge</t>
  </si>
  <si>
    <t>Greater Kruger National Park</t>
  </si>
  <si>
    <t>Hex River Mountains</t>
  </si>
  <si>
    <t>Illovo</t>
  </si>
  <si>
    <t>Inchanga</t>
  </si>
  <si>
    <t>iSimangaliso</t>
  </si>
  <si>
    <t>Joostenberg</t>
  </si>
  <si>
    <t>Kamfersdam</t>
  </si>
  <si>
    <t>Kamiesberg</t>
  </si>
  <si>
    <t>Kei River Cuttings</t>
  </si>
  <si>
    <t>Knersvlakte</t>
  </si>
  <si>
    <t>Kogelberg</t>
  </si>
  <si>
    <t>Koringberg</t>
  </si>
  <si>
    <t>KwaZulu-Natal Escarpment</t>
  </si>
  <si>
    <t>Langeberg West</t>
  </si>
  <si>
    <t>Langkloof - Kouga Grassy Fynbos</t>
  </si>
  <si>
    <t>Loskop</t>
  </si>
  <si>
    <t>Lourensrivier - Sir Lowrys Pass</t>
  </si>
  <si>
    <t>Lower Umgeni</t>
  </si>
  <si>
    <t>Magaliesberg</t>
  </si>
  <si>
    <t>Makapan</t>
  </si>
  <si>
    <t>Malmesbury</t>
  </si>
  <si>
    <t>Mgeni Midlands</t>
  </si>
  <si>
    <t>Mhlathuzana Valley</t>
  </si>
  <si>
    <t>Midmar</t>
  </si>
  <si>
    <t>Mlazi</t>
  </si>
  <si>
    <t>Mooi River Highland Grasslands</t>
  </si>
  <si>
    <t>Mpushini</t>
  </si>
  <si>
    <t>Mzumbe Estuary</t>
  </si>
  <si>
    <t>Namaqualand Hardeveld North</t>
  </si>
  <si>
    <t>Namaqualand Hardeveld South</t>
  </si>
  <si>
    <t>Nelson Mandela Bay Metro - South</t>
  </si>
  <si>
    <t>Nelson Mandela Bay Metro - North</t>
  </si>
  <si>
    <t>Ngqushwa</t>
  </si>
  <si>
    <t>Richards Bay Coast</t>
  </si>
  <si>
    <t>Northern Swartland</t>
  </si>
  <si>
    <t>Nottingham Midlands</t>
  </si>
  <si>
    <t>Olifants River Valley Mountains</t>
  </si>
  <si>
    <t>Oribi Gorge</t>
  </si>
  <si>
    <t>Paarl Mountain - Agter Paarl</t>
  </si>
  <si>
    <t>Paradise Valley</t>
  </si>
  <si>
    <t>Polokwane</t>
  </si>
  <si>
    <t>Pongolapoort</t>
  </si>
  <si>
    <t>Rietvlei-Irene</t>
  </si>
  <si>
    <t>Rondebosch - Observatory</t>
  </si>
  <si>
    <t>Shongweni</t>
  </si>
  <si>
    <t>Southern Richtersveld</t>
  </si>
  <si>
    <t>Soutpansberg</t>
  </si>
  <si>
    <t>Steenkampsberg Grasslands</t>
  </si>
  <si>
    <t>Stormsvlei</t>
  </si>
  <si>
    <t>Swartkops River Estuary</t>
  </si>
  <si>
    <t>Table Mountain National Park and Surrounds</t>
  </si>
  <si>
    <t>Thanda - Manyoni</t>
  </si>
  <si>
    <t>Touws River</t>
  </si>
  <si>
    <t>Tugela - Bushmans Thornveld</t>
  </si>
  <si>
    <t>Umdloti</t>
  </si>
  <si>
    <t>Umzimkulu</t>
  </si>
  <si>
    <t>Upper Karoo</t>
  </si>
  <si>
    <t>West Coast Biosphere Reserve</t>
  </si>
  <si>
    <t>Western Gamka Karoo</t>
  </si>
  <si>
    <t>Worcester</t>
  </si>
  <si>
    <t>World's View</t>
  </si>
  <si>
    <t xml:space="preserve"> Rubi-Tele Hunting Domain</t>
  </si>
  <si>
    <t>Domaine de Chasse de Rubi-Tele</t>
  </si>
  <si>
    <t>country_na</t>
  </si>
  <si>
    <t>AAC_aw_mean_thresh</t>
  </si>
  <si>
    <t>AAC_fraction_affected</t>
  </si>
  <si>
    <t>AAC_total_value_km2</t>
  </si>
  <si>
    <t>ABC_aw_mean_thresh</t>
  </si>
  <si>
    <t>ABC_fraction_affected</t>
  </si>
  <si>
    <t>ABC_total_value_km2</t>
  </si>
  <si>
    <t>ADC_aw_mean_thresh</t>
  </si>
  <si>
    <t>ADC_fraction_affected</t>
  </si>
  <si>
    <t>ADC_total_value_km2</t>
  </si>
  <si>
    <t>ALC_aw_mean_thresh</t>
  </si>
  <si>
    <t>ALC_fraction_affected</t>
  </si>
  <si>
    <t>ALC_total_value_km2</t>
  </si>
  <si>
    <t>AOC_aw_mean_thresh</t>
  </si>
  <si>
    <t>AOC_fraction_affected</t>
  </si>
  <si>
    <t>AOC_total_value_km2</t>
  </si>
  <si>
    <t>BAA_aw_mean_thresh</t>
  </si>
  <si>
    <t>BAA_fraction_affected</t>
  </si>
  <si>
    <t>BAA_total_value_km2</t>
  </si>
  <si>
    <t>BCC_aw_mean_thresh</t>
  </si>
  <si>
    <t>BCC_fraction_affected</t>
  </si>
  <si>
    <t>BCC_total_value_km2</t>
  </si>
  <si>
    <t>BLC_aw_mean_thresh</t>
  </si>
  <si>
    <t>BLC_fraction_affected</t>
  </si>
  <si>
    <t>BLC_total_value_km2</t>
  </si>
  <si>
    <t>BSC_aw_mean_thresh</t>
  </si>
  <si>
    <t>BSC_fraction_affected</t>
  </si>
  <si>
    <t>BSC_total_value_km2</t>
  </si>
  <si>
    <t>BVH_aw_mean_thresh</t>
  </si>
  <si>
    <t>BVH_fraction_affected</t>
  </si>
  <si>
    <t>BVH_total_value_km2</t>
  </si>
  <si>
    <t>BYC_aw_mean_thresh</t>
  </si>
  <si>
    <t>BYC_fraction_affected</t>
  </si>
  <si>
    <t>BYC_total_value_km2</t>
  </si>
  <si>
    <t>CDC_aw_mean_thresh</t>
  </si>
  <si>
    <t>CDC_fraction_affected</t>
  </si>
  <si>
    <t>CDC_total_value_km2</t>
  </si>
  <si>
    <t>CGC_aw_mean_thresh</t>
  </si>
  <si>
    <t>CGC_fraction_affected</t>
  </si>
  <si>
    <t>CGC_total_value_km2</t>
  </si>
  <si>
    <t>CNC_aw_mean_thresh</t>
  </si>
  <si>
    <t>CNC_fraction_affected</t>
  </si>
  <si>
    <t>CNC_total_value_km2</t>
  </si>
  <si>
    <t>DAC_aw_mean_thresh</t>
  </si>
  <si>
    <t>DAC_fraction_affected</t>
  </si>
  <si>
    <t>DAC_total_value_km2</t>
  </si>
  <si>
    <t>DBC_aw_mean_thresh</t>
  </si>
  <si>
    <t>DBC_fraction_affected</t>
  </si>
  <si>
    <t>DBC_total_value_km2</t>
  </si>
  <si>
    <t>DBO_aw_mean_thresh</t>
  </si>
  <si>
    <t>DBO_fraction_affected</t>
  </si>
  <si>
    <t>DBO_total_value_km2</t>
  </si>
  <si>
    <t>DDC_aw_mean_thresh</t>
  </si>
  <si>
    <t>DDC_fraction_affected</t>
  </si>
  <si>
    <t>DDC_total_value_km2</t>
  </si>
  <si>
    <t>DNC_aw_mean_thresh</t>
  </si>
  <si>
    <t>DNC_fraction_affected</t>
  </si>
  <si>
    <t>DNC_total_value_km2</t>
  </si>
  <si>
    <t>KCB_aw_mean_thresh</t>
  </si>
  <si>
    <t>KCB_fraction_affected</t>
  </si>
  <si>
    <t>KCB_total_value_km2</t>
  </si>
  <si>
    <t>LAP_aw_mean_thresh</t>
  </si>
  <si>
    <t>LAP_fraction_affected</t>
  </si>
  <si>
    <t>LAP_total_value_km2</t>
  </si>
  <si>
    <t>LBP_aw_mean_thresh</t>
  </si>
  <si>
    <t>LBP_fraction_affected</t>
  </si>
  <si>
    <t>LBP_total_value_km2</t>
  </si>
  <si>
    <t>LCC_aw_mean_thresh</t>
  </si>
  <si>
    <t>LCC_fraction_affected</t>
  </si>
  <si>
    <t>LCC_total_value_km2</t>
  </si>
  <si>
    <t>LIC_aw_mean_thresh</t>
  </si>
  <si>
    <t>LIC_fraction_affected</t>
  </si>
  <si>
    <t>LIC_total_value_km2</t>
  </si>
  <si>
    <t>LKJ_aw_mean_thresh</t>
  </si>
  <si>
    <t>LKJ_fraction_affected</t>
  </si>
  <si>
    <t>LKJ_total_value_km2</t>
  </si>
  <si>
    <t>LMP_aw_mean_thresh</t>
  </si>
  <si>
    <t>LMP_fraction_affected</t>
  </si>
  <si>
    <t>LMP_total_value_km2</t>
  </si>
  <si>
    <t>LOC_aw_mean_thresh</t>
  </si>
  <si>
    <t>LOC_fraction_affected</t>
  </si>
  <si>
    <t>LOC_total_value_km2</t>
  </si>
  <si>
    <t>MAC_aw_mean_thresh</t>
  </si>
  <si>
    <t>MAC_fraction_affected</t>
  </si>
  <si>
    <t>MAC_total_value_km2</t>
  </si>
  <si>
    <t>MDC_aw_mean_thresh</t>
  </si>
  <si>
    <t>MDC_fraction_affected</t>
  </si>
  <si>
    <t>MDC_total_value_km2</t>
  </si>
  <si>
    <t>MDT_aw_mean_thresh</t>
  </si>
  <si>
    <t>MDT_fraction_affected</t>
  </si>
  <si>
    <t>MDT_total_value_km2</t>
  </si>
  <si>
    <t>MDU_aw_mean_thresh</t>
  </si>
  <si>
    <t>MDU_fraction_affected</t>
  </si>
  <si>
    <t>MDU_total_value_km2</t>
  </si>
  <si>
    <t>MTC_aw_mean_thresh</t>
  </si>
  <si>
    <t>MTC_fraction_affected</t>
  </si>
  <si>
    <t>MTC_total_value_km2</t>
  </si>
  <si>
    <t>NAC_aw_mean_thresh</t>
  </si>
  <si>
    <t>NAC_fraction_affected</t>
  </si>
  <si>
    <t>NAC_total_value_km2</t>
  </si>
  <si>
    <t>NBC_aw_mean_thresh</t>
  </si>
  <si>
    <t>NBC_fraction_affected</t>
  </si>
  <si>
    <t>NBC_total_value_km2</t>
  </si>
  <si>
    <t>NGC_aw_mean_thresh</t>
  </si>
  <si>
    <t>NGC_fraction_affected</t>
  </si>
  <si>
    <t>NGC_total_value_km2</t>
  </si>
  <si>
    <t>NIB_aw_mean_thresh</t>
  </si>
  <si>
    <t>NIB_fraction_affected</t>
  </si>
  <si>
    <t>NIB_total_value_km2</t>
  </si>
  <si>
    <t>NRC_aw_mean_thresh</t>
  </si>
  <si>
    <t>NRC_fraction_affected</t>
  </si>
  <si>
    <t>NRC_total_value_km2</t>
  </si>
  <si>
    <t>NSC_aw_mean_thresh</t>
  </si>
  <si>
    <t>NSC_fraction_affected</t>
  </si>
  <si>
    <t>NSC_total_value_km2</t>
  </si>
  <si>
    <t>PNC_aw_mean_thresh</t>
  </si>
  <si>
    <t>PNC_fraction_affected</t>
  </si>
  <si>
    <t>PNC_total_value_km2</t>
  </si>
  <si>
    <t>PSC_aw_mean_thresh</t>
  </si>
  <si>
    <t>PSC_fraction_affected</t>
  </si>
  <si>
    <t>PSC_total_value_km2</t>
  </si>
  <si>
    <t>SGR_aw_mean_thresh</t>
  </si>
  <si>
    <t>SGR_fraction_affected</t>
  </si>
  <si>
    <t>SGR_total_value_km2</t>
  </si>
  <si>
    <t>SNC_aw_mean_thresh</t>
  </si>
  <si>
    <t>SNC_fraction_affected</t>
  </si>
  <si>
    <t>SNC_total_value_km2</t>
  </si>
  <si>
    <t>TAH_aw_mean_thresh</t>
  </si>
  <si>
    <t>TAH_fraction_affected</t>
  </si>
  <si>
    <t>TAH_total_value_km2</t>
  </si>
  <si>
    <t>TCC_aw_mean_thresh</t>
  </si>
  <si>
    <t>TCC_fraction_affected</t>
  </si>
  <si>
    <t>TCC_total_value_km2</t>
  </si>
  <si>
    <t>TCU_aw_mean_thresh</t>
  </si>
  <si>
    <t>TCU_fraction_affected</t>
  </si>
  <si>
    <t>TCU_total_value_km2</t>
  </si>
  <si>
    <t>TDC_aw_mean_thresh</t>
  </si>
  <si>
    <t>TDC_fraction_affected</t>
  </si>
  <si>
    <t>TDC_total_value_km2</t>
  </si>
  <si>
    <t>TKC_aw_mean_thresh</t>
  </si>
  <si>
    <t>TKC_fraction_affected</t>
  </si>
  <si>
    <t>TKC_total_value_km2</t>
  </si>
  <si>
    <t>TMC_aw_mean_thresh</t>
  </si>
  <si>
    <t>TMC_fraction_affected</t>
  </si>
  <si>
    <t>TMC_total_value_km2</t>
  </si>
  <si>
    <t>TOC_aw_mean_thresh</t>
  </si>
  <si>
    <t>TOC_fraction_affected</t>
  </si>
  <si>
    <t>TOC_total_value_km2</t>
  </si>
  <si>
    <t>TUC_aw_mean_thresh</t>
  </si>
  <si>
    <t>TUC_fraction_affected</t>
  </si>
  <si>
    <t>TUC_total_value_km2</t>
  </si>
  <si>
    <t>ZMR_aw_mean_thresh</t>
  </si>
  <si>
    <t>ZMR_fraction_affected</t>
  </si>
  <si>
    <t>ZMR_total_value_km2</t>
  </si>
  <si>
    <t>Number corridors</t>
  </si>
  <si>
    <t>Central African Rep</t>
  </si>
  <si>
    <t>Cote d'Ivoire</t>
  </si>
  <si>
    <t>Dem Rep of the Congo</t>
  </si>
  <si>
    <t>Equatorial Guinea</t>
  </si>
  <si>
    <t>Eritrea</t>
  </si>
  <si>
    <t>Gambia, The</t>
  </si>
  <si>
    <t>Lesotho</t>
  </si>
  <si>
    <t>Mali</t>
  </si>
  <si>
    <t>Rep of the Congo</t>
  </si>
  <si>
    <t>Sierra Leone</t>
  </si>
  <si>
    <t>Somalia</t>
  </si>
  <si>
    <t>Swaziland</t>
  </si>
  <si>
    <t>Result</t>
  </si>
  <si>
    <t>Country</t>
  </si>
  <si>
    <t>Number</t>
  </si>
  <si>
    <t>All corridors</t>
  </si>
  <si>
    <t>NA</t>
  </si>
  <si>
    <t>Number of countries affected within the scope</t>
  </si>
  <si>
    <t>All countries within scope</t>
  </si>
  <si>
    <t>Country affected by more corridors</t>
  </si>
  <si>
    <t>Democratic Republic of Congo</t>
  </si>
  <si>
    <t>Countries affected by one corridor</t>
  </si>
  <si>
    <t>Lesotho, Gabon, Eritrea, Egypt Equatorial Guinea, Mauritania</t>
  </si>
  <si>
    <t>Countries affected by more than one corridor</t>
  </si>
  <si>
    <t>Average number of projects per country</t>
  </si>
  <si>
    <t>Number projects</t>
  </si>
  <si>
    <t>Democratic Republic of the Congo</t>
  </si>
  <si>
    <t>LAP CASE STUDY</t>
  </si>
  <si>
    <t>LAP Corridor PII</t>
  </si>
  <si>
    <t>LAP0002 PII</t>
  </si>
  <si>
    <t>LAP0003 PII</t>
  </si>
  <si>
    <t>LAP0004 PII</t>
  </si>
  <si>
    <t>LAP0005 PII</t>
  </si>
  <si>
    <t>LAP0006  PII</t>
  </si>
  <si>
    <t>LAP0020 PII</t>
  </si>
  <si>
    <t>LAP0003 is larger than LAP because we are talking about mean PII values of each raster across the whole country but still looking at it pixel by pixel, it always adds up.</t>
  </si>
  <si>
    <t>AAC0001_aw_mean_thresh</t>
  </si>
  <si>
    <t>AAC0001_fraction_affected</t>
  </si>
  <si>
    <t>AAC0001_total_value_km2</t>
  </si>
  <si>
    <t>ABC0001_aw_mean_thresh</t>
  </si>
  <si>
    <t>ABC0001_fraction_affected</t>
  </si>
  <si>
    <t>ABC0001_total_value_km2</t>
  </si>
  <si>
    <t>ADC0001_aw_mean_thresh</t>
  </si>
  <si>
    <t>ADC0001_fraction_affected</t>
  </si>
  <si>
    <t>ADC0001_total_value_km2</t>
  </si>
  <si>
    <t>ADC0003_aw_mean_thresh</t>
  </si>
  <si>
    <t>ADC0003_fraction_affected</t>
  </si>
  <si>
    <t>ADC0003_total_value_km2</t>
  </si>
  <si>
    <t>ALC0001_aw_mean_thresh</t>
  </si>
  <si>
    <t>ALC0001_fraction_affected</t>
  </si>
  <si>
    <t>ALC0001_total_value_km2</t>
  </si>
  <si>
    <t>AOC0001_aw_mean_thresh</t>
  </si>
  <si>
    <t>AOC0001_fraction_affected</t>
  </si>
  <si>
    <t>AOC0001_total_value_km2</t>
  </si>
  <si>
    <t>AOC0002_aw_mean_thresh</t>
  </si>
  <si>
    <t>AOC0002_fraction_affected</t>
  </si>
  <si>
    <t>AOC0002_total_value_km2</t>
  </si>
  <si>
    <t>BAA0001_aw_mean_thresh</t>
  </si>
  <si>
    <t>BAA0001_fraction_affected</t>
  </si>
  <si>
    <t>BAA0001_total_value_km2</t>
  </si>
  <si>
    <t>BCC0001_aw_mean_thresh</t>
  </si>
  <si>
    <t>BCC0001_fraction_affected</t>
  </si>
  <si>
    <t>BCC0001_total_value_km2</t>
  </si>
  <si>
    <t>BLC0003_aw_mean_thresh</t>
  </si>
  <si>
    <t>BLC0003_fraction_affected</t>
  </si>
  <si>
    <t>BLC0003_total_value_km2</t>
  </si>
  <si>
    <t>BLC0007_aw_mean_thresh</t>
  </si>
  <si>
    <t>BLC0007_fraction_affected</t>
  </si>
  <si>
    <t>BLC0007_total_value_km2</t>
  </si>
  <si>
    <t>BSC0001_aw_mean_thresh</t>
  </si>
  <si>
    <t>BSC0001_fraction_affected</t>
  </si>
  <si>
    <t>BSC0001_total_value_km2</t>
  </si>
  <si>
    <t>BVH0001_aw_mean_thresh</t>
  </si>
  <si>
    <t>BVH0001_fraction_affected</t>
  </si>
  <si>
    <t>BVH0001_total_value_km2</t>
  </si>
  <si>
    <t>BYC0001_aw_mean_thresh</t>
  </si>
  <si>
    <t>BYC0001_fraction_affected</t>
  </si>
  <si>
    <t>BYC0001_total_value_km2</t>
  </si>
  <si>
    <t>BYC0003_aw_mean_thresh</t>
  </si>
  <si>
    <t>BYC0003_fraction_affected</t>
  </si>
  <si>
    <t>BYC0003_total_value_km2</t>
  </si>
  <si>
    <t>CDC0001_aw_mean_thresh</t>
  </si>
  <si>
    <t>CDC0001_fraction_affected</t>
  </si>
  <si>
    <t>CDC0001_total_value_km2</t>
  </si>
  <si>
    <t>CDC0002_aw_mean_thresh</t>
  </si>
  <si>
    <t>CDC0002_fraction_affected</t>
  </si>
  <si>
    <t>CDC0002_total_value_km2</t>
  </si>
  <si>
    <t>CGC0002_aw_mean_thresh</t>
  </si>
  <si>
    <t>CGC0002_fraction_affected</t>
  </si>
  <si>
    <t>CGC0002_total_value_km2</t>
  </si>
  <si>
    <t>CGC0003_aw_mean_thresh</t>
  </si>
  <si>
    <t>CGC0003_fraction_affected</t>
  </si>
  <si>
    <t>CGC0003_total_value_km2</t>
  </si>
  <si>
    <t>CNC0002_aw_mean_thresh</t>
  </si>
  <si>
    <t>CNC0002_fraction_affected</t>
  </si>
  <si>
    <t>CNC0002_total_value_km2</t>
  </si>
  <si>
    <t>CNC0003_aw_mean_thresh</t>
  </si>
  <si>
    <t>CNC0003_fraction_affected</t>
  </si>
  <si>
    <t>CNC0003_total_value_km2</t>
  </si>
  <si>
    <t>DAC0001_aw_mean_thresh</t>
  </si>
  <si>
    <t>DAC0001_fraction_affected</t>
  </si>
  <si>
    <t>DAC0001_total_value_km2</t>
  </si>
  <si>
    <t>DBC0001_aw_mean_thresh</t>
  </si>
  <si>
    <t>DBC0001_fraction_affected</t>
  </si>
  <si>
    <t>DBC0001_total_value_km2</t>
  </si>
  <si>
    <t>DBO0002_aw_mean_thresh</t>
  </si>
  <si>
    <t>DBO0002_fraction_affected</t>
  </si>
  <si>
    <t>DBO0002_total_value_km2</t>
  </si>
  <si>
    <t>DDC0001_aw_mean_thresh</t>
  </si>
  <si>
    <t>DDC0001_fraction_affected</t>
  </si>
  <si>
    <t>DDC0001_total_value_km2</t>
  </si>
  <si>
    <t>DDC0002_aw_mean_thresh</t>
  </si>
  <si>
    <t>DDC0002_fraction_affected</t>
  </si>
  <si>
    <t>DDC0002_total_value_km2</t>
  </si>
  <si>
    <t>DDC0005_aw_mean_thresh</t>
  </si>
  <si>
    <t>DDC0005_fraction_affected</t>
  </si>
  <si>
    <t>DDC0005_total_value_km2</t>
  </si>
  <si>
    <t>DNC0001_aw_mean_thresh</t>
  </si>
  <si>
    <t>DNC0001_fraction_affected</t>
  </si>
  <si>
    <t>DNC0001_total_value_km2</t>
  </si>
  <si>
    <t>KCB0001_aw_mean_thresh</t>
  </si>
  <si>
    <t>KCB0001_fraction_affected</t>
  </si>
  <si>
    <t>KCB0001_total_value_km2</t>
  </si>
  <si>
    <t>LAP0002_aw_mean_thresh</t>
  </si>
  <si>
    <t>LAP0002_fraction_affected</t>
  </si>
  <si>
    <t>LAP0002_total_value_km2</t>
  </si>
  <si>
    <t>LAP0003_aw_mean_thresh</t>
  </si>
  <si>
    <t>LAP0003_fraction_affected</t>
  </si>
  <si>
    <t>LAP0003_total_value_km2</t>
  </si>
  <si>
    <t>LAP0004_aw_mean_thresh</t>
  </si>
  <si>
    <t>LAP0004_fraction_affected</t>
  </si>
  <si>
    <t>LAP0004_total_value_km2</t>
  </si>
  <si>
    <t>LAP0005_aw_mean_thresh</t>
  </si>
  <si>
    <t>LAP0005_fraction_affected</t>
  </si>
  <si>
    <t>LAP0005_total_value_km2</t>
  </si>
  <si>
    <t>LAP0006_aw_mean_thresh</t>
  </si>
  <si>
    <t>LAP0006_fraction_affected</t>
  </si>
  <si>
    <t>LAP0006_total_value_km2</t>
  </si>
  <si>
    <t>LAP0020_aw_mean_thresh</t>
  </si>
  <si>
    <t>LAP0020_fraction_affected</t>
  </si>
  <si>
    <t>LAP0020_total_value_km2</t>
  </si>
  <si>
    <t>LBP0001_aw_mean_thresh</t>
  </si>
  <si>
    <t>LBP0001_fraction_affected</t>
  </si>
  <si>
    <t>LBP0001_total_value_km2</t>
  </si>
  <si>
    <t>LBP0003_aw_mean_thresh</t>
  </si>
  <si>
    <t>LBP0003_fraction_affected</t>
  </si>
  <si>
    <t>LBP0003_total_value_km2</t>
  </si>
  <si>
    <t>LCC0001_aw_mean_thresh</t>
  </si>
  <si>
    <t>LCC0001_fraction_affected</t>
  </si>
  <si>
    <t>LCC0001_total_value_km2</t>
  </si>
  <si>
    <t>LIC0001_aw_mean_thresh</t>
  </si>
  <si>
    <t>LIC0001_fraction_affected</t>
  </si>
  <si>
    <t>LIC0001_total_value_km2</t>
  </si>
  <si>
    <t>LKJ0001_aw_mean_thresh</t>
  </si>
  <si>
    <t>LKJ0001_fraction_affected</t>
  </si>
  <si>
    <t>LKJ0001_total_value_km2</t>
  </si>
  <si>
    <t>LMP0001_aw_mean_thresh</t>
  </si>
  <si>
    <t>LMP0001_fraction_affected</t>
  </si>
  <si>
    <t>LMP0001_total_value_km2</t>
  </si>
  <si>
    <t>LOC0002_aw_mean_thresh</t>
  </si>
  <si>
    <t>LOC0002_fraction_affected</t>
  </si>
  <si>
    <t>LOC0002_total_value_km2</t>
  </si>
  <si>
    <t>MAC0001_aw_mean_thresh</t>
  </si>
  <si>
    <t>MAC0001_fraction_affected</t>
  </si>
  <si>
    <t>MAC0001_total_value_km2</t>
  </si>
  <si>
    <t>MDC0001_aw_mean_thresh</t>
  </si>
  <si>
    <t>MDC0001_fraction_affected</t>
  </si>
  <si>
    <t>MDC0001_total_value_km2</t>
  </si>
  <si>
    <t>MDC0002_aw_mean_thresh</t>
  </si>
  <si>
    <t>MDC0002_fraction_affected</t>
  </si>
  <si>
    <t>MDC0002_total_value_km2</t>
  </si>
  <si>
    <t>MDT0001_aw_mean_thresh</t>
  </si>
  <si>
    <t>MDT0001_fraction_affected</t>
  </si>
  <si>
    <t>MDT0001_total_value_km2</t>
  </si>
  <si>
    <t>MDU0001_aw_mean_thresh</t>
  </si>
  <si>
    <t>MDU0001_fraction_affected</t>
  </si>
  <si>
    <t>MDU0001_total_value_km2</t>
  </si>
  <si>
    <t>MTC0002_aw_mean_thresh</t>
  </si>
  <si>
    <t>MTC0002_fraction_affected</t>
  </si>
  <si>
    <t>MTC0002_total_value_km2</t>
  </si>
  <si>
    <t>NAC0001_aw_mean_thresh</t>
  </si>
  <si>
    <t>NAC0001_fraction_affected</t>
  </si>
  <si>
    <t>NAC0001_total_value_km2</t>
  </si>
  <si>
    <t>NAC0002_aw_mean_thresh</t>
  </si>
  <si>
    <t>NAC0002_fraction_affected</t>
  </si>
  <si>
    <t>NAC0002_total_value_km2</t>
  </si>
  <si>
    <t>NBC0001_aw_mean_thresh</t>
  </si>
  <si>
    <t>NBC0001_fraction_affected</t>
  </si>
  <si>
    <t>NBC0001_total_value_km2</t>
  </si>
  <si>
    <t>NGC0001_aw_mean_thresh</t>
  </si>
  <si>
    <t>NGC0001_fraction_affected</t>
  </si>
  <si>
    <t>NGC0001_total_value_km2</t>
  </si>
  <si>
    <t>NIB0001_aw_mean_thresh</t>
  </si>
  <si>
    <t>NIB0001_fraction_affected</t>
  </si>
  <si>
    <t>NIB0001_total_value_km2</t>
  </si>
  <si>
    <t>NRC0001_aw_mean_thresh</t>
  </si>
  <si>
    <t>NRC0001_fraction_affected</t>
  </si>
  <si>
    <t>NRC0001_total_value_km2</t>
  </si>
  <si>
    <t>NRC0003_aw_mean_thresh</t>
  </si>
  <si>
    <t>NRC0003_fraction_affected</t>
  </si>
  <si>
    <t>NRC0003_total_value_km2</t>
  </si>
  <si>
    <t>NRC0007_aw_mean_thresh</t>
  </si>
  <si>
    <t>NRC0007_fraction_affected</t>
  </si>
  <si>
    <t>NRC0007_total_value_km2</t>
  </si>
  <si>
    <t>NRC0008_aw_mean_thresh</t>
  </si>
  <si>
    <t>NRC0008_fraction_affected</t>
  </si>
  <si>
    <t>NRC0008_total_value_km2</t>
  </si>
  <si>
    <t>NSC0004_aw_mean_thresh</t>
  </si>
  <si>
    <t>NSC0004_fraction_affected</t>
  </si>
  <si>
    <t>NSC0004_total_value_km2</t>
  </si>
  <si>
    <t>NSC0005_aw_mean_thresh</t>
  </si>
  <si>
    <t>NSC0005_fraction_affected</t>
  </si>
  <si>
    <t>NSC0005_total_value_km2</t>
  </si>
  <si>
    <t>NSC0006_aw_mean_thresh</t>
  </si>
  <si>
    <t>NSC0006_fraction_affected</t>
  </si>
  <si>
    <t>NSC0006_total_value_km2</t>
  </si>
  <si>
    <t>PNC0001_aw_mean_thresh</t>
  </si>
  <si>
    <t>PNC0001_fraction_affected</t>
  </si>
  <si>
    <t>PNC0001_total_value_km2</t>
  </si>
  <si>
    <t>PNC0002_aw_mean_thresh</t>
  </si>
  <si>
    <t>PNC0002_fraction_affected</t>
  </si>
  <si>
    <t>PNC0002_total_value_km2</t>
  </si>
  <si>
    <t>PSC0002_aw_mean_thresh</t>
  </si>
  <si>
    <t>PSC0002_fraction_affected</t>
  </si>
  <si>
    <t>PSC0002_total_value_km2</t>
  </si>
  <si>
    <t>SGR0001_aw_mean_thresh</t>
  </si>
  <si>
    <t>SGR0001_fraction_affected</t>
  </si>
  <si>
    <t>SGR0001_total_value_km2</t>
  </si>
  <si>
    <t>SGR0002_aw_mean_thresh</t>
  </si>
  <si>
    <t>SGR0002_fraction_affected</t>
  </si>
  <si>
    <t>SGR0002_total_value_km2</t>
  </si>
  <si>
    <t>SGR0003_aw_mean_thresh</t>
  </si>
  <si>
    <t>SGR0003_fraction_affected</t>
  </si>
  <si>
    <t>SGR0003_total_value_km2</t>
  </si>
  <si>
    <t>SNC0001_aw_mean_thresh</t>
  </si>
  <si>
    <t>SNC0001_fraction_affected</t>
  </si>
  <si>
    <t>SNC0001_total_value_km2</t>
  </si>
  <si>
    <t>TAH0001_aw_mean_thresh</t>
  </si>
  <si>
    <t>TAH0001_fraction_affected</t>
  </si>
  <si>
    <t>TAH0001_total_value_km2</t>
  </si>
  <si>
    <t>TAH0002_aw_mean_thresh</t>
  </si>
  <si>
    <t>TAH0002_fraction_affected</t>
  </si>
  <si>
    <t>TAH0002_total_value_km2</t>
  </si>
  <si>
    <t>TAH0003_aw_mean_thresh</t>
  </si>
  <si>
    <t>TAH0003_fraction_affected</t>
  </si>
  <si>
    <t>TAH0003_total_value_km2</t>
  </si>
  <si>
    <t>TAH0004_aw_mean_thresh</t>
  </si>
  <si>
    <t>TAH0004_fraction_affected</t>
  </si>
  <si>
    <t>TAH0004_total_value_km2</t>
  </si>
  <si>
    <t>TAH0005_aw_mean_thresh</t>
  </si>
  <si>
    <t>TAH0005_fraction_affected</t>
  </si>
  <si>
    <t>TAH0005_total_value_km2</t>
  </si>
  <si>
    <t>TAH0006_aw_mean_thresh</t>
  </si>
  <si>
    <t>TAH0006_fraction_affected</t>
  </si>
  <si>
    <t>TAH0006_total_value_km2</t>
  </si>
  <si>
    <t>TAH0007_aw_mean_thresh</t>
  </si>
  <si>
    <t>TAH0007_fraction_affected</t>
  </si>
  <si>
    <t>TAH0007_total_value_km2</t>
  </si>
  <si>
    <t>TAH0008_aw_mean_thresh</t>
  </si>
  <si>
    <t>TAH0008_fraction_affected</t>
  </si>
  <si>
    <t>TAH0008_total_value_km2</t>
  </si>
  <si>
    <t>TAH0009_aw_mean_thresh</t>
  </si>
  <si>
    <t>TAH0009_fraction_affected</t>
  </si>
  <si>
    <t>TAH0009_total_value_km2</t>
  </si>
  <si>
    <t>TCC0001_aw_mean_thresh</t>
  </si>
  <si>
    <t>TCC0001_fraction_affected</t>
  </si>
  <si>
    <t>TCC0001_total_value_km2</t>
  </si>
  <si>
    <t>TCC0002_aw_mean_thresh</t>
  </si>
  <si>
    <t>TCC0002_fraction_affected</t>
  </si>
  <si>
    <t>TCC0002_total_value_km2</t>
  </si>
  <si>
    <t>TCU0001_aw_mean_thresh</t>
  </si>
  <si>
    <t>TCU0001_fraction_affected</t>
  </si>
  <si>
    <t>TCU0001_total_value_km2</t>
  </si>
  <si>
    <t>TDC0001_aw_mean_thresh</t>
  </si>
  <si>
    <t>TDC0001_fraction_affected</t>
  </si>
  <si>
    <t>TDC0001_total_value_km2</t>
  </si>
  <si>
    <t>TKC0001_aw_mean_thresh</t>
  </si>
  <si>
    <t>TKC0001_fraction_affected</t>
  </si>
  <si>
    <t>TKC0001_total_value_km2</t>
  </si>
  <si>
    <t>TKC0002_aw_mean_thresh</t>
  </si>
  <si>
    <t>TKC0002_fraction_affected</t>
  </si>
  <si>
    <t>TKC0002_total_value_km2</t>
  </si>
  <si>
    <t>TMC0002_aw_mean_thresh</t>
  </si>
  <si>
    <t>TMC0002_fraction_affected</t>
  </si>
  <si>
    <t>TMC0002_total_value_km2</t>
  </si>
  <si>
    <t>TOC0001_aw_mean_thresh</t>
  </si>
  <si>
    <t>TOC0001_fraction_affected</t>
  </si>
  <si>
    <t>TOC0001_total_value_km2</t>
  </si>
  <si>
    <t>TOC0002_aw_mean_thresh</t>
  </si>
  <si>
    <t>TOC0002_fraction_affected</t>
  </si>
  <si>
    <t>TOC0002_total_value_km2</t>
  </si>
  <si>
    <t>TUC0001_aw_mean_thresh</t>
  </si>
  <si>
    <t>TUC0001_fraction_affected</t>
  </si>
  <si>
    <t>TUC0001_total_value_km2</t>
  </si>
  <si>
    <t>ZMR0001_aw_mean_thresh</t>
  </si>
  <si>
    <t>ZMR0001_fraction_affected</t>
  </si>
  <si>
    <t>ZMR0001_total_value_km2</t>
  </si>
  <si>
    <t>Average</t>
  </si>
  <si>
    <t>HM PCA mean</t>
  </si>
  <si>
    <t>ACD PCA mean</t>
  </si>
  <si>
    <t>PII mean</t>
  </si>
  <si>
    <t>Existing pressures contribution to PII</t>
  </si>
  <si>
    <t>New pressures contribution to PII</t>
  </si>
  <si>
    <t>HM KBA mean</t>
  </si>
  <si>
    <t>ACD KBA mean</t>
  </si>
  <si>
    <t>PII KBA mean</t>
  </si>
  <si>
    <t>Libia</t>
  </si>
  <si>
    <t>Republic of the Congo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</si>
</sst>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0"/>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0" fontId="2" fillId="0" borderId="0" xfId="0" applyFont="1"/>
    <xf numFmtId="164" fontId="0" fillId="0" borderId="0" xfId="1" applyNumberFormat="1" applyFont="1"/>
    <xf numFmtId="165" fontId="0" fillId="0" borderId="0" xfId="2" applyNumberFormat="1" applyFont="1"/>
    <xf numFmtId="165" fontId="0" fillId="0" borderId="0" xfId="0" applyNumberFormat="1"/>
    <xf numFmtId="9" fontId="0" fillId="0" borderId="0" xfId="2" applyFont="1"/>
    <xf numFmtId="0" fontId="0" fillId="2" borderId="0" xfId="0" applyFill="1"/>
    <xf numFmtId="2" fontId="0" fillId="0" borderId="0" xfId="0" applyNumberFormat="1"/>
    <xf numFmtId="0" fontId="3" fillId="0" borderId="0" xfId="0" applyFont="1"/>
    <xf numFmtId="43" fontId="0" fillId="0" borderId="0" xfId="1" applyFont="1"/>
  </cellXfs>
  <cellStyles count="3">
    <cellStyle name="Comma" xfId="1" builtinId="3"/>
    <cellStyle name="Normal" xfId="0" builtinId="0"/>
    <cellStyle name="Per cent" xfId="2"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Results_countries!$B$12</c:f>
              <c:strCache>
                <c:ptCount val="1"/>
                <c:pt idx="0">
                  <c:v>Number projects</c:v>
                </c:pt>
              </c:strCache>
            </c:strRef>
          </c:tx>
          <c:spPr>
            <a:solidFill>
              <a:schemeClr val="accent1"/>
            </a:solidFill>
            <a:ln>
              <a:noFill/>
            </a:ln>
            <a:effectLst/>
          </c:spPr>
          <c:invertIfNegative val="0"/>
          <c:cat>
            <c:strRef>
              <c:f>Results_countries!$A$13:$A$60</c:f>
              <c:strCache>
                <c:ptCount val="48"/>
                <c:pt idx="0">
                  <c:v>Zimbabwe</c:v>
                </c:pt>
                <c:pt idx="1">
                  <c:v>Zambia</c:v>
                </c:pt>
                <c:pt idx="2">
                  <c:v>Uganda</c:v>
                </c:pt>
                <c:pt idx="3">
                  <c:v>Tunisia</c:v>
                </c:pt>
                <c:pt idx="4">
                  <c:v>Togo</c:v>
                </c:pt>
                <c:pt idx="5">
                  <c:v>Tanzania</c:v>
                </c:pt>
                <c:pt idx="6">
                  <c:v>Swaziland</c:v>
                </c:pt>
                <c:pt idx="7">
                  <c:v>Sudan</c:v>
                </c:pt>
                <c:pt idx="8">
                  <c:v>South Sudan</c:v>
                </c:pt>
                <c:pt idx="9">
                  <c:v>South Africa</c:v>
                </c:pt>
                <c:pt idx="10">
                  <c:v>Somalia</c:v>
                </c:pt>
                <c:pt idx="11">
                  <c:v>Sierra Leone</c:v>
                </c:pt>
                <c:pt idx="12">
                  <c:v>Senegal</c:v>
                </c:pt>
                <c:pt idx="13">
                  <c:v>Rwanda</c:v>
                </c:pt>
                <c:pt idx="14">
                  <c:v>Rep of the Congo</c:v>
                </c:pt>
                <c:pt idx="15">
                  <c:v>Nigeria</c:v>
                </c:pt>
                <c:pt idx="16">
                  <c:v>Niger</c:v>
                </c:pt>
                <c:pt idx="17">
                  <c:v>Namibia</c:v>
                </c:pt>
                <c:pt idx="18">
                  <c:v>Mozambique</c:v>
                </c:pt>
                <c:pt idx="19">
                  <c:v>Morocco</c:v>
                </c:pt>
                <c:pt idx="20">
                  <c:v>Mauritania</c:v>
                </c:pt>
                <c:pt idx="21">
                  <c:v>Mali</c:v>
                </c:pt>
                <c:pt idx="22">
                  <c:v>Malawi</c:v>
                </c:pt>
                <c:pt idx="23">
                  <c:v>Libya</c:v>
                </c:pt>
                <c:pt idx="24">
                  <c:v>Liberia</c:v>
                </c:pt>
                <c:pt idx="25">
                  <c:v>Lesotho</c:v>
                </c:pt>
                <c:pt idx="26">
                  <c:v>Kenya</c:v>
                </c:pt>
                <c:pt idx="27">
                  <c:v>Guinea-Bissau</c:v>
                </c:pt>
                <c:pt idx="28">
                  <c:v>Guinea</c:v>
                </c:pt>
                <c:pt idx="29">
                  <c:v>Ghana</c:v>
                </c:pt>
                <c:pt idx="30">
                  <c:v>Gambia, The</c:v>
                </c:pt>
                <c:pt idx="31">
                  <c:v>Gabon</c:v>
                </c:pt>
                <c:pt idx="32">
                  <c:v>Ethiopia</c:v>
                </c:pt>
                <c:pt idx="33">
                  <c:v>Eritrea</c:v>
                </c:pt>
                <c:pt idx="34">
                  <c:v>Equatorial Guinea</c:v>
                </c:pt>
                <c:pt idx="35">
                  <c:v>Egypt</c:v>
                </c:pt>
                <c:pt idx="36">
                  <c:v>Djibouti</c:v>
                </c:pt>
                <c:pt idx="37">
                  <c:v>Democratic Republic of the Congo</c:v>
                </c:pt>
                <c:pt idx="38">
                  <c:v>Cote d'Ivoire</c:v>
                </c:pt>
                <c:pt idx="39">
                  <c:v>Chad</c:v>
                </c:pt>
                <c:pt idx="40">
                  <c:v>Central African Republic</c:v>
                </c:pt>
                <c:pt idx="41">
                  <c:v>Cameroon</c:v>
                </c:pt>
                <c:pt idx="42">
                  <c:v>Burundi</c:v>
                </c:pt>
                <c:pt idx="43">
                  <c:v>Burkina Faso</c:v>
                </c:pt>
                <c:pt idx="44">
                  <c:v>Botswana</c:v>
                </c:pt>
                <c:pt idx="45">
                  <c:v>Benin</c:v>
                </c:pt>
                <c:pt idx="46">
                  <c:v>Angola</c:v>
                </c:pt>
                <c:pt idx="47">
                  <c:v>Algeria</c:v>
                </c:pt>
              </c:strCache>
            </c:strRef>
          </c:cat>
          <c:val>
            <c:numRef>
              <c:f>Results_countries!$B$13:$B$60</c:f>
              <c:numCache>
                <c:formatCode>General</c:formatCode>
                <c:ptCount val="48"/>
                <c:pt idx="0">
                  <c:v>9</c:v>
                </c:pt>
                <c:pt idx="1">
                  <c:v>9</c:v>
                </c:pt>
                <c:pt idx="2">
                  <c:v>6</c:v>
                </c:pt>
                <c:pt idx="3">
                  <c:v>2</c:v>
                </c:pt>
                <c:pt idx="4">
                  <c:v>4</c:v>
                </c:pt>
                <c:pt idx="5">
                  <c:v>11</c:v>
                </c:pt>
                <c:pt idx="6">
                  <c:v>2</c:v>
                </c:pt>
                <c:pt idx="7">
                  <c:v>3</c:v>
                </c:pt>
                <c:pt idx="8">
                  <c:v>3</c:v>
                </c:pt>
                <c:pt idx="9">
                  <c:v>13</c:v>
                </c:pt>
                <c:pt idx="10">
                  <c:v>2</c:v>
                </c:pt>
                <c:pt idx="11">
                  <c:v>2</c:v>
                </c:pt>
                <c:pt idx="12">
                  <c:v>5</c:v>
                </c:pt>
                <c:pt idx="13">
                  <c:v>4</c:v>
                </c:pt>
                <c:pt idx="14">
                  <c:v>7</c:v>
                </c:pt>
                <c:pt idx="15">
                  <c:v>6</c:v>
                </c:pt>
                <c:pt idx="16">
                  <c:v>4</c:v>
                </c:pt>
                <c:pt idx="17">
                  <c:v>10</c:v>
                </c:pt>
                <c:pt idx="18">
                  <c:v>9</c:v>
                </c:pt>
                <c:pt idx="19">
                  <c:v>2</c:v>
                </c:pt>
                <c:pt idx="20">
                  <c:v>1</c:v>
                </c:pt>
                <c:pt idx="21">
                  <c:v>4</c:v>
                </c:pt>
                <c:pt idx="22">
                  <c:v>3</c:v>
                </c:pt>
                <c:pt idx="23">
                  <c:v>3</c:v>
                </c:pt>
                <c:pt idx="24">
                  <c:v>3</c:v>
                </c:pt>
                <c:pt idx="25">
                  <c:v>1</c:v>
                </c:pt>
                <c:pt idx="26">
                  <c:v>15</c:v>
                </c:pt>
                <c:pt idx="27">
                  <c:v>2</c:v>
                </c:pt>
                <c:pt idx="28">
                  <c:v>6</c:v>
                </c:pt>
                <c:pt idx="29">
                  <c:v>4</c:v>
                </c:pt>
                <c:pt idx="30">
                  <c:v>2</c:v>
                </c:pt>
                <c:pt idx="31">
                  <c:v>1</c:v>
                </c:pt>
                <c:pt idx="32">
                  <c:v>7</c:v>
                </c:pt>
                <c:pt idx="33">
                  <c:v>1</c:v>
                </c:pt>
                <c:pt idx="34">
                  <c:v>1</c:v>
                </c:pt>
                <c:pt idx="35">
                  <c:v>2</c:v>
                </c:pt>
                <c:pt idx="36">
                  <c:v>4</c:v>
                </c:pt>
                <c:pt idx="37">
                  <c:v>20</c:v>
                </c:pt>
                <c:pt idx="38">
                  <c:v>7</c:v>
                </c:pt>
                <c:pt idx="39">
                  <c:v>3</c:v>
                </c:pt>
                <c:pt idx="40">
                  <c:v>5</c:v>
                </c:pt>
                <c:pt idx="41">
                  <c:v>8</c:v>
                </c:pt>
                <c:pt idx="42">
                  <c:v>3</c:v>
                </c:pt>
                <c:pt idx="43">
                  <c:v>6</c:v>
                </c:pt>
                <c:pt idx="44">
                  <c:v>4</c:v>
                </c:pt>
                <c:pt idx="45">
                  <c:v>4</c:v>
                </c:pt>
                <c:pt idx="46">
                  <c:v>11</c:v>
                </c:pt>
                <c:pt idx="47">
                  <c:v>3</c:v>
                </c:pt>
              </c:numCache>
            </c:numRef>
          </c:val>
          <c:extLst>
            <c:ext xmlns:c16="http://schemas.microsoft.com/office/drawing/2014/chart" uri="{C3380CC4-5D6E-409C-BE32-E72D297353CC}">
              <c16:uniqueId val="{00000000-11CF-4F8A-9CC5-B894207A2AEE}"/>
            </c:ext>
          </c:extLst>
        </c:ser>
        <c:ser>
          <c:idx val="1"/>
          <c:order val="1"/>
          <c:tx>
            <c:strRef>
              <c:f>Results_countries!$C$12</c:f>
              <c:strCache>
                <c:ptCount val="1"/>
                <c:pt idx="0">
                  <c:v>Number corridors</c:v>
                </c:pt>
              </c:strCache>
            </c:strRef>
          </c:tx>
          <c:spPr>
            <a:solidFill>
              <a:schemeClr val="accent2"/>
            </a:solidFill>
            <a:ln>
              <a:noFill/>
            </a:ln>
            <a:effectLst/>
          </c:spPr>
          <c:invertIfNegative val="0"/>
          <c:cat>
            <c:strRef>
              <c:f>Results_countries!$A$13:$A$60</c:f>
              <c:strCache>
                <c:ptCount val="48"/>
                <c:pt idx="0">
                  <c:v>Zimbabwe</c:v>
                </c:pt>
                <c:pt idx="1">
                  <c:v>Zambia</c:v>
                </c:pt>
                <c:pt idx="2">
                  <c:v>Uganda</c:v>
                </c:pt>
                <c:pt idx="3">
                  <c:v>Tunisia</c:v>
                </c:pt>
                <c:pt idx="4">
                  <c:v>Togo</c:v>
                </c:pt>
                <c:pt idx="5">
                  <c:v>Tanzania</c:v>
                </c:pt>
                <c:pt idx="6">
                  <c:v>Swaziland</c:v>
                </c:pt>
                <c:pt idx="7">
                  <c:v>Sudan</c:v>
                </c:pt>
                <c:pt idx="8">
                  <c:v>South Sudan</c:v>
                </c:pt>
                <c:pt idx="9">
                  <c:v>South Africa</c:v>
                </c:pt>
                <c:pt idx="10">
                  <c:v>Somalia</c:v>
                </c:pt>
                <c:pt idx="11">
                  <c:v>Sierra Leone</c:v>
                </c:pt>
                <c:pt idx="12">
                  <c:v>Senegal</c:v>
                </c:pt>
                <c:pt idx="13">
                  <c:v>Rwanda</c:v>
                </c:pt>
                <c:pt idx="14">
                  <c:v>Rep of the Congo</c:v>
                </c:pt>
                <c:pt idx="15">
                  <c:v>Nigeria</c:v>
                </c:pt>
                <c:pt idx="16">
                  <c:v>Niger</c:v>
                </c:pt>
                <c:pt idx="17">
                  <c:v>Namibia</c:v>
                </c:pt>
                <c:pt idx="18">
                  <c:v>Mozambique</c:v>
                </c:pt>
                <c:pt idx="19">
                  <c:v>Morocco</c:v>
                </c:pt>
                <c:pt idx="20">
                  <c:v>Mauritania</c:v>
                </c:pt>
                <c:pt idx="21">
                  <c:v>Mali</c:v>
                </c:pt>
                <c:pt idx="22">
                  <c:v>Malawi</c:v>
                </c:pt>
                <c:pt idx="23">
                  <c:v>Libya</c:v>
                </c:pt>
                <c:pt idx="24">
                  <c:v>Liberia</c:v>
                </c:pt>
                <c:pt idx="25">
                  <c:v>Lesotho</c:v>
                </c:pt>
                <c:pt idx="26">
                  <c:v>Kenya</c:v>
                </c:pt>
                <c:pt idx="27">
                  <c:v>Guinea-Bissau</c:v>
                </c:pt>
                <c:pt idx="28">
                  <c:v>Guinea</c:v>
                </c:pt>
                <c:pt idx="29">
                  <c:v>Ghana</c:v>
                </c:pt>
                <c:pt idx="30">
                  <c:v>Gambia, The</c:v>
                </c:pt>
                <c:pt idx="31">
                  <c:v>Gabon</c:v>
                </c:pt>
                <c:pt idx="32">
                  <c:v>Ethiopia</c:v>
                </c:pt>
                <c:pt idx="33">
                  <c:v>Eritrea</c:v>
                </c:pt>
                <c:pt idx="34">
                  <c:v>Equatorial Guinea</c:v>
                </c:pt>
                <c:pt idx="35">
                  <c:v>Egypt</c:v>
                </c:pt>
                <c:pt idx="36">
                  <c:v>Djibouti</c:v>
                </c:pt>
                <c:pt idx="37">
                  <c:v>Democratic Republic of the Congo</c:v>
                </c:pt>
                <c:pt idx="38">
                  <c:v>Cote d'Ivoire</c:v>
                </c:pt>
                <c:pt idx="39">
                  <c:v>Chad</c:v>
                </c:pt>
                <c:pt idx="40">
                  <c:v>Central African Republic</c:v>
                </c:pt>
                <c:pt idx="41">
                  <c:v>Cameroon</c:v>
                </c:pt>
                <c:pt idx="42">
                  <c:v>Burundi</c:v>
                </c:pt>
                <c:pt idx="43">
                  <c:v>Burkina Faso</c:v>
                </c:pt>
                <c:pt idx="44">
                  <c:v>Botswana</c:v>
                </c:pt>
                <c:pt idx="45">
                  <c:v>Benin</c:v>
                </c:pt>
                <c:pt idx="46">
                  <c:v>Angola</c:v>
                </c:pt>
                <c:pt idx="47">
                  <c:v>Algeria</c:v>
                </c:pt>
              </c:strCache>
            </c:strRef>
          </c:cat>
          <c:val>
            <c:numRef>
              <c:f>Results_countries!$C$13:$C$60</c:f>
              <c:numCache>
                <c:formatCode>General</c:formatCode>
                <c:ptCount val="48"/>
                <c:pt idx="0">
                  <c:v>6</c:v>
                </c:pt>
                <c:pt idx="1">
                  <c:v>6</c:v>
                </c:pt>
                <c:pt idx="2">
                  <c:v>3</c:v>
                </c:pt>
                <c:pt idx="3">
                  <c:v>2</c:v>
                </c:pt>
                <c:pt idx="4">
                  <c:v>4</c:v>
                </c:pt>
                <c:pt idx="5">
                  <c:v>8</c:v>
                </c:pt>
                <c:pt idx="6">
                  <c:v>2</c:v>
                </c:pt>
                <c:pt idx="7">
                  <c:v>2</c:v>
                </c:pt>
                <c:pt idx="8">
                  <c:v>3</c:v>
                </c:pt>
                <c:pt idx="9">
                  <c:v>8</c:v>
                </c:pt>
                <c:pt idx="10">
                  <c:v>2</c:v>
                </c:pt>
                <c:pt idx="11">
                  <c:v>2</c:v>
                </c:pt>
                <c:pt idx="12">
                  <c:v>3</c:v>
                </c:pt>
                <c:pt idx="13">
                  <c:v>3</c:v>
                </c:pt>
                <c:pt idx="14">
                  <c:v>5</c:v>
                </c:pt>
                <c:pt idx="15">
                  <c:v>4</c:v>
                </c:pt>
                <c:pt idx="16">
                  <c:v>3</c:v>
                </c:pt>
                <c:pt idx="17">
                  <c:v>7</c:v>
                </c:pt>
                <c:pt idx="18">
                  <c:v>7</c:v>
                </c:pt>
                <c:pt idx="19">
                  <c:v>2</c:v>
                </c:pt>
                <c:pt idx="20">
                  <c:v>1</c:v>
                </c:pt>
                <c:pt idx="21">
                  <c:v>4</c:v>
                </c:pt>
                <c:pt idx="22">
                  <c:v>3</c:v>
                </c:pt>
                <c:pt idx="23">
                  <c:v>2</c:v>
                </c:pt>
                <c:pt idx="24">
                  <c:v>3</c:v>
                </c:pt>
                <c:pt idx="25">
                  <c:v>1</c:v>
                </c:pt>
                <c:pt idx="26">
                  <c:v>6</c:v>
                </c:pt>
                <c:pt idx="27">
                  <c:v>2</c:v>
                </c:pt>
                <c:pt idx="28">
                  <c:v>5</c:v>
                </c:pt>
                <c:pt idx="29">
                  <c:v>4</c:v>
                </c:pt>
                <c:pt idx="30">
                  <c:v>2</c:v>
                </c:pt>
                <c:pt idx="31">
                  <c:v>1</c:v>
                </c:pt>
                <c:pt idx="32">
                  <c:v>5</c:v>
                </c:pt>
                <c:pt idx="33">
                  <c:v>1</c:v>
                </c:pt>
                <c:pt idx="34">
                  <c:v>1</c:v>
                </c:pt>
                <c:pt idx="35">
                  <c:v>1</c:v>
                </c:pt>
                <c:pt idx="36">
                  <c:v>3</c:v>
                </c:pt>
                <c:pt idx="37">
                  <c:v>13</c:v>
                </c:pt>
                <c:pt idx="38">
                  <c:v>6</c:v>
                </c:pt>
                <c:pt idx="39">
                  <c:v>2</c:v>
                </c:pt>
                <c:pt idx="40">
                  <c:v>4</c:v>
                </c:pt>
                <c:pt idx="41">
                  <c:v>5</c:v>
                </c:pt>
                <c:pt idx="42">
                  <c:v>2</c:v>
                </c:pt>
                <c:pt idx="43">
                  <c:v>5</c:v>
                </c:pt>
                <c:pt idx="44">
                  <c:v>4</c:v>
                </c:pt>
                <c:pt idx="45">
                  <c:v>3</c:v>
                </c:pt>
                <c:pt idx="46">
                  <c:v>9</c:v>
                </c:pt>
                <c:pt idx="47">
                  <c:v>2</c:v>
                </c:pt>
              </c:numCache>
            </c:numRef>
          </c:val>
          <c:extLst>
            <c:ext xmlns:c16="http://schemas.microsoft.com/office/drawing/2014/chart" uri="{C3380CC4-5D6E-409C-BE32-E72D297353CC}">
              <c16:uniqueId val="{00000001-11CF-4F8A-9CC5-B894207A2AEE}"/>
            </c:ext>
          </c:extLst>
        </c:ser>
        <c:dLbls>
          <c:showLegendKey val="0"/>
          <c:showVal val="0"/>
          <c:showCatName val="0"/>
          <c:showSerName val="0"/>
          <c:showPercent val="0"/>
          <c:showBubbleSize val="0"/>
        </c:dLbls>
        <c:gapWidth val="219"/>
        <c:axId val="1134716832"/>
        <c:axId val="1134717312"/>
      </c:barChart>
      <c:catAx>
        <c:axId val="113471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17312"/>
        <c:crosses val="autoZero"/>
        <c:auto val="1"/>
        <c:lblAlgn val="ctr"/>
        <c:lblOffset val="100"/>
        <c:noMultiLvlLbl val="0"/>
      </c:catAx>
      <c:valAx>
        <c:axId val="1134717312"/>
        <c:scaling>
          <c:orientation val="minMax"/>
          <c:max val="2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16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Results_countries!$B$65</c:f>
              <c:strCache>
                <c:ptCount val="1"/>
                <c:pt idx="0">
                  <c:v>LAP Corridor PII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Results_countries!$A$66:$A$68</c:f>
              <c:strCache>
                <c:ptCount val="3"/>
                <c:pt idx="0">
                  <c:v>Ethiopia</c:v>
                </c:pt>
                <c:pt idx="1">
                  <c:v>Kenya</c:v>
                </c:pt>
                <c:pt idx="2">
                  <c:v>South Sudan</c:v>
                </c:pt>
              </c:strCache>
            </c:strRef>
          </c:cat>
          <c:val>
            <c:numRef>
              <c:f>Results_countries!$B$66:$B$68</c:f>
              <c:numCache>
                <c:formatCode>0.00</c:formatCode>
                <c:ptCount val="3"/>
                <c:pt idx="0">
                  <c:v>0.41905911782503802</c:v>
                </c:pt>
                <c:pt idx="1">
                  <c:v>0.33352820423652002</c:v>
                </c:pt>
                <c:pt idx="2">
                  <c:v>0.28971893365596302</c:v>
                </c:pt>
              </c:numCache>
            </c:numRef>
          </c:val>
          <c:extLst>
            <c:ext xmlns:c16="http://schemas.microsoft.com/office/drawing/2014/chart" uri="{C3380CC4-5D6E-409C-BE32-E72D297353CC}">
              <c16:uniqueId val="{00000000-2164-419F-9899-8D73F82074CF}"/>
            </c:ext>
          </c:extLst>
        </c:ser>
        <c:ser>
          <c:idx val="3"/>
          <c:order val="3"/>
          <c:tx>
            <c:strRef>
              <c:f>Results_countries!$E$65</c:f>
              <c:strCache>
                <c:ptCount val="1"/>
                <c:pt idx="0">
                  <c:v>LAP0002 PII</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Results_countries!$A$66:$A$68</c:f>
              <c:strCache>
                <c:ptCount val="3"/>
                <c:pt idx="0">
                  <c:v>Ethiopia</c:v>
                </c:pt>
                <c:pt idx="1">
                  <c:v>Kenya</c:v>
                </c:pt>
                <c:pt idx="2">
                  <c:v>South Sudan</c:v>
                </c:pt>
              </c:strCache>
            </c:strRef>
          </c:cat>
          <c:val>
            <c:numRef>
              <c:f>Results_countries!$E$66:$E$68</c:f>
              <c:numCache>
                <c:formatCode>0.00</c:formatCode>
                <c:ptCount val="3"/>
                <c:pt idx="1">
                  <c:v>0.31004422473783799</c:v>
                </c:pt>
              </c:numCache>
            </c:numRef>
          </c:val>
          <c:extLst>
            <c:ext xmlns:c16="http://schemas.microsoft.com/office/drawing/2014/chart" uri="{C3380CC4-5D6E-409C-BE32-E72D297353CC}">
              <c16:uniqueId val="{00000001-2164-419F-9899-8D73F82074CF}"/>
            </c:ext>
          </c:extLst>
        </c:ser>
        <c:ser>
          <c:idx val="4"/>
          <c:order val="4"/>
          <c:tx>
            <c:strRef>
              <c:f>Results_countries!$F$65</c:f>
              <c:strCache>
                <c:ptCount val="1"/>
                <c:pt idx="0">
                  <c:v>LAP0003 PII</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Results_countries!$A$66:$A$68</c:f>
              <c:strCache>
                <c:ptCount val="3"/>
                <c:pt idx="0">
                  <c:v>Ethiopia</c:v>
                </c:pt>
                <c:pt idx="1">
                  <c:v>Kenya</c:v>
                </c:pt>
                <c:pt idx="2">
                  <c:v>South Sudan</c:v>
                </c:pt>
              </c:strCache>
            </c:strRef>
          </c:cat>
          <c:val>
            <c:numRef>
              <c:f>Results_countries!$F$66:$F$68</c:f>
              <c:numCache>
                <c:formatCode>0.00</c:formatCode>
                <c:ptCount val="3"/>
                <c:pt idx="0">
                  <c:v>0</c:v>
                </c:pt>
                <c:pt idx="1">
                  <c:v>0.34635520763069799</c:v>
                </c:pt>
                <c:pt idx="2">
                  <c:v>0.28971893371667601</c:v>
                </c:pt>
              </c:numCache>
            </c:numRef>
          </c:val>
          <c:extLst>
            <c:ext xmlns:c16="http://schemas.microsoft.com/office/drawing/2014/chart" uri="{C3380CC4-5D6E-409C-BE32-E72D297353CC}">
              <c16:uniqueId val="{00000002-2164-419F-9899-8D73F82074CF}"/>
            </c:ext>
          </c:extLst>
        </c:ser>
        <c:ser>
          <c:idx val="5"/>
          <c:order val="5"/>
          <c:tx>
            <c:strRef>
              <c:f>Results_countries!$G$65</c:f>
              <c:strCache>
                <c:ptCount val="1"/>
                <c:pt idx="0">
                  <c:v>LAP0004 PII</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Results_countries!$A$66:$A$68</c:f>
              <c:strCache>
                <c:ptCount val="3"/>
                <c:pt idx="0">
                  <c:v>Ethiopia</c:v>
                </c:pt>
                <c:pt idx="1">
                  <c:v>Kenya</c:v>
                </c:pt>
                <c:pt idx="2">
                  <c:v>South Sudan</c:v>
                </c:pt>
              </c:strCache>
            </c:strRef>
          </c:cat>
          <c:val>
            <c:numRef>
              <c:f>Results_countries!$G$66:$G$68</c:f>
              <c:numCache>
                <c:formatCode>0.00</c:formatCode>
                <c:ptCount val="3"/>
                <c:pt idx="0">
                  <c:v>0.41905911805753299</c:v>
                </c:pt>
                <c:pt idx="1">
                  <c:v>0.303772739060442</c:v>
                </c:pt>
              </c:numCache>
            </c:numRef>
          </c:val>
          <c:extLst>
            <c:ext xmlns:c16="http://schemas.microsoft.com/office/drawing/2014/chart" uri="{C3380CC4-5D6E-409C-BE32-E72D297353CC}">
              <c16:uniqueId val="{00000003-2164-419F-9899-8D73F82074CF}"/>
            </c:ext>
          </c:extLst>
        </c:ser>
        <c:ser>
          <c:idx val="6"/>
          <c:order val="6"/>
          <c:tx>
            <c:strRef>
              <c:f>Results_countries!$H$65</c:f>
              <c:strCache>
                <c:ptCount val="1"/>
                <c:pt idx="0">
                  <c:v>LAP0005 PII</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Results_countries!$A$66:$A$68</c:f>
              <c:strCache>
                <c:ptCount val="3"/>
                <c:pt idx="0">
                  <c:v>Ethiopia</c:v>
                </c:pt>
                <c:pt idx="1">
                  <c:v>Kenya</c:v>
                </c:pt>
                <c:pt idx="2">
                  <c:v>South Sudan</c:v>
                </c:pt>
              </c:strCache>
            </c:strRef>
          </c:cat>
          <c:val>
            <c:numRef>
              <c:f>Results_countries!$H$66:$H$68</c:f>
              <c:numCache>
                <c:formatCode>0.00</c:formatCode>
                <c:ptCount val="3"/>
                <c:pt idx="1">
                  <c:v>0.320942104466866</c:v>
                </c:pt>
              </c:numCache>
            </c:numRef>
          </c:val>
          <c:extLst>
            <c:ext xmlns:c16="http://schemas.microsoft.com/office/drawing/2014/chart" uri="{C3380CC4-5D6E-409C-BE32-E72D297353CC}">
              <c16:uniqueId val="{00000004-2164-419F-9899-8D73F82074CF}"/>
            </c:ext>
          </c:extLst>
        </c:ser>
        <c:ser>
          <c:idx val="7"/>
          <c:order val="7"/>
          <c:tx>
            <c:strRef>
              <c:f>Results_countries!$I$65</c:f>
              <c:strCache>
                <c:ptCount val="1"/>
                <c:pt idx="0">
                  <c:v>LAP0006  PII</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Results_countries!$A$66:$A$68</c:f>
              <c:strCache>
                <c:ptCount val="3"/>
                <c:pt idx="0">
                  <c:v>Ethiopia</c:v>
                </c:pt>
                <c:pt idx="1">
                  <c:v>Kenya</c:v>
                </c:pt>
                <c:pt idx="2">
                  <c:v>South Sudan</c:v>
                </c:pt>
              </c:strCache>
            </c:strRef>
          </c:cat>
          <c:val>
            <c:numRef>
              <c:f>Results_countries!$I$66:$I$68</c:f>
              <c:numCache>
                <c:formatCode>0.00</c:formatCode>
                <c:ptCount val="3"/>
                <c:pt idx="1">
                  <c:v>0.295159609559978</c:v>
                </c:pt>
              </c:numCache>
            </c:numRef>
          </c:val>
          <c:extLst>
            <c:ext xmlns:c16="http://schemas.microsoft.com/office/drawing/2014/chart" uri="{C3380CC4-5D6E-409C-BE32-E72D297353CC}">
              <c16:uniqueId val="{00000005-2164-419F-9899-8D73F82074CF}"/>
            </c:ext>
          </c:extLst>
        </c:ser>
        <c:ser>
          <c:idx val="8"/>
          <c:order val="8"/>
          <c:tx>
            <c:strRef>
              <c:f>Results_countries!$J$65</c:f>
              <c:strCache>
                <c:ptCount val="1"/>
                <c:pt idx="0">
                  <c:v>LAP0020 PII</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Results_countries!$A$66:$A$68</c:f>
              <c:strCache>
                <c:ptCount val="3"/>
                <c:pt idx="0">
                  <c:v>Ethiopia</c:v>
                </c:pt>
                <c:pt idx="1">
                  <c:v>Kenya</c:v>
                </c:pt>
                <c:pt idx="2">
                  <c:v>South Sudan</c:v>
                </c:pt>
              </c:strCache>
            </c:strRef>
          </c:cat>
          <c:val>
            <c:numRef>
              <c:f>Results_countries!$J$66:$J$68</c:f>
              <c:numCache>
                <c:formatCode>0.00</c:formatCode>
                <c:ptCount val="3"/>
                <c:pt idx="1">
                  <c:v>0.28979922122186902</c:v>
                </c:pt>
              </c:numCache>
            </c:numRef>
          </c:val>
          <c:extLst>
            <c:ext xmlns:c16="http://schemas.microsoft.com/office/drawing/2014/chart" uri="{C3380CC4-5D6E-409C-BE32-E72D297353CC}">
              <c16:uniqueId val="{00000006-2164-419F-9899-8D73F82074CF}"/>
            </c:ext>
          </c:extLst>
        </c:ser>
        <c:dLbls>
          <c:dLblPos val="outEnd"/>
          <c:showLegendKey val="0"/>
          <c:showVal val="1"/>
          <c:showCatName val="0"/>
          <c:showSerName val="0"/>
          <c:showPercent val="0"/>
          <c:showBubbleSize val="0"/>
        </c:dLbls>
        <c:gapWidth val="182"/>
        <c:axId val="1628883120"/>
        <c:axId val="1628884560"/>
        <c:extLst>
          <c:ext xmlns:c15="http://schemas.microsoft.com/office/drawing/2012/chart" uri="{02D57815-91ED-43cb-92C2-25804820EDAC}">
            <c15:filteredBarSeries>
              <c15:ser>
                <c:idx val="1"/>
                <c:order val="1"/>
                <c:tx>
                  <c:strRef>
                    <c:extLst>
                      <c:ext uri="{02D57815-91ED-43cb-92C2-25804820EDAC}">
                        <c15:formulaRef>
                          <c15:sqref>Results_countries!$C$65</c15:sqref>
                        </c15:formulaRef>
                      </c:ext>
                    </c:extLst>
                    <c:strCache>
                      <c:ptCount val="1"/>
                      <c:pt idx="0">
                        <c:v>LAP_fraction_affected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Results_countries!$A$66:$A$68</c15:sqref>
                        </c15:formulaRef>
                      </c:ext>
                    </c:extLst>
                    <c:strCache>
                      <c:ptCount val="3"/>
                      <c:pt idx="0">
                        <c:v>Ethiopia</c:v>
                      </c:pt>
                      <c:pt idx="1">
                        <c:v>Kenya</c:v>
                      </c:pt>
                      <c:pt idx="2">
                        <c:v>South Sudan</c:v>
                      </c:pt>
                    </c:strCache>
                  </c:strRef>
                </c:cat>
                <c:val>
                  <c:numRef>
                    <c:extLst>
                      <c:ext uri="{02D57815-91ED-43cb-92C2-25804820EDAC}">
                        <c15:formulaRef>
                          <c15:sqref>Results_countries!$C$66:$C$68</c15:sqref>
                        </c15:formulaRef>
                      </c:ext>
                    </c:extLst>
                    <c:numCache>
                      <c:formatCode>0.00</c:formatCode>
                      <c:ptCount val="3"/>
                      <c:pt idx="0">
                        <c:v>0.97827370695767701</c:v>
                      </c:pt>
                      <c:pt idx="1">
                        <c:v>0.95068427972260605</c:v>
                      </c:pt>
                      <c:pt idx="2">
                        <c:v>0.979361623433189</c:v>
                      </c:pt>
                    </c:numCache>
                  </c:numRef>
                </c:val>
                <c:extLst>
                  <c:ext xmlns:c16="http://schemas.microsoft.com/office/drawing/2014/chart" uri="{C3380CC4-5D6E-409C-BE32-E72D297353CC}">
                    <c16:uniqueId val="{00000007-2164-419F-9899-8D73F82074C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Results_countries!$D$65</c15:sqref>
                        </c15:formulaRef>
                      </c:ext>
                    </c:extLst>
                    <c:strCache>
                      <c:ptCount val="1"/>
                      <c:pt idx="0">
                        <c:v>LAP_total_value_km2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Results_countries!$A$66:$A$68</c15:sqref>
                        </c15:formulaRef>
                      </c:ext>
                    </c:extLst>
                    <c:strCache>
                      <c:ptCount val="3"/>
                      <c:pt idx="0">
                        <c:v>Ethiopia</c:v>
                      </c:pt>
                      <c:pt idx="1">
                        <c:v>Kenya</c:v>
                      </c:pt>
                      <c:pt idx="2">
                        <c:v>South Sudan</c:v>
                      </c:pt>
                    </c:strCache>
                  </c:strRef>
                </c:cat>
                <c:val>
                  <c:numRef>
                    <c:extLst xmlns:c15="http://schemas.microsoft.com/office/drawing/2012/chart">
                      <c:ext xmlns:c15="http://schemas.microsoft.com/office/drawing/2012/chart" uri="{02D57815-91ED-43cb-92C2-25804820EDAC}">
                        <c15:formulaRef>
                          <c15:sqref>Results_countries!$D$66:$D$68</c15:sqref>
                        </c15:formulaRef>
                      </c:ext>
                    </c:extLst>
                    <c:numCache>
                      <c:formatCode>0.00</c:formatCode>
                      <c:ptCount val="3"/>
                      <c:pt idx="0">
                        <c:v>8418.1214192917305</c:v>
                      </c:pt>
                      <c:pt idx="1">
                        <c:v>24476.649881945901</c:v>
                      </c:pt>
                      <c:pt idx="2">
                        <c:v>2863.7858531797701</c:v>
                      </c:pt>
                    </c:numCache>
                  </c:numRef>
                </c:val>
                <c:extLst xmlns:c15="http://schemas.microsoft.com/office/drawing/2012/chart">
                  <c:ext xmlns:c16="http://schemas.microsoft.com/office/drawing/2014/chart" uri="{C3380CC4-5D6E-409C-BE32-E72D297353CC}">
                    <c16:uniqueId val="{00000008-2164-419F-9899-8D73F82074CF}"/>
                  </c:ext>
                </c:extLst>
              </c15:ser>
            </c15:filteredBarSeries>
          </c:ext>
        </c:extLst>
      </c:barChart>
      <c:catAx>
        <c:axId val="162888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84560"/>
        <c:crosses val="autoZero"/>
        <c:auto val="1"/>
        <c:lblAlgn val="ctr"/>
        <c:lblOffset val="100"/>
        <c:noMultiLvlLbl val="0"/>
      </c:catAx>
      <c:valAx>
        <c:axId val="16288845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831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GB" sz="1400" b="0" i="0" u="none" strike="noStrike" baseline="0">
                <a:solidFill>
                  <a:sysClr val="windowText" lastClr="000000">
                    <a:lumMod val="65000"/>
                    <a:lumOff val="35000"/>
                  </a:sysClr>
                </a:solidFill>
                <a:latin typeface="Aptos Narrow" panose="02110004020202020204"/>
              </a:rPr>
              <a:t>Mali KBA PII: 0.59</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KBAs_PII_means!$E$1:$F$1</c:f>
              <c:strCache>
                <c:ptCount val="2"/>
                <c:pt idx="0">
                  <c:v>Existing pressures contribution to PII</c:v>
                </c:pt>
                <c:pt idx="1">
                  <c:v>New pressures contribution to PII</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206-4F75-BABB-D9D87833235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206-4F75-BABB-D9D878332357}"/>
              </c:ext>
            </c:extLst>
          </c:dPt>
          <c:dLbls>
            <c:numFmt formatCode="0%" sourceLinked="0"/>
            <c:spPr>
              <a:noFill/>
              <a:ln>
                <a:noFill/>
              </a:ln>
              <a:effectLst/>
            </c:spPr>
            <c:txPr>
              <a:bodyPr rot="0" spcFirstLastPara="1" vertOverflow="overflow" horzOverflow="overflow" vert="horz" wrap="none" lIns="38100" tIns="19050" rIns="38100" bIns="19050" anchor="t" anchorCtr="1">
                <a:spAutoFit/>
              </a:bodyPr>
              <a:lstStyle/>
              <a:p>
                <a:pPr>
                  <a:defRPr sz="900" b="1" i="0" u="none" strike="noStrike"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Lit>
              <c:ptCount val="2"/>
              <c:pt idx="0">
                <c:v>Existing pressures contribution to PII</c:v>
              </c:pt>
              <c:pt idx="1">
                <c:v>New pressures contribution to PII</c:v>
              </c:pt>
            </c:strLit>
          </c:cat>
          <c:val>
            <c:numRef>
              <c:f>KBAs_PII_means!$E$2:$F$2</c:f>
              <c:numCache>
                <c:formatCode>_(* #,##0.00_);_(* \(#,##0.00\);_(* "-"??_);_(@_)</c:formatCode>
                <c:ptCount val="2"/>
                <c:pt idx="0">
                  <c:v>0.24051076709283123</c:v>
                </c:pt>
                <c:pt idx="1">
                  <c:v>0.75948923290716863</c:v>
                </c:pt>
              </c:numCache>
            </c:numRef>
          </c:val>
          <c:extLst>
            <c:ext xmlns:c16="http://schemas.microsoft.com/office/drawing/2014/chart" uri="{C3380CC4-5D6E-409C-BE32-E72D297353CC}">
              <c16:uniqueId val="{00000004-7206-4F75-BABB-D9D87833235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123824</xdr:colOff>
      <xdr:row>10</xdr:row>
      <xdr:rowOff>114300</xdr:rowOff>
    </xdr:from>
    <xdr:to>
      <xdr:col>16</xdr:col>
      <xdr:colOff>584834</xdr:colOff>
      <xdr:row>54</xdr:row>
      <xdr:rowOff>91440</xdr:rowOff>
    </xdr:to>
    <xdr:graphicFrame macro="">
      <xdr:nvGraphicFramePr>
        <xdr:cNvPr id="2" name="Chart 1">
          <a:extLst>
            <a:ext uri="{FF2B5EF4-FFF2-40B4-BE49-F238E27FC236}">
              <a16:creationId xmlns:a16="http://schemas.microsoft.com/office/drawing/2014/main" id="{766B2C25-8264-4A8F-8DBF-B2C083D53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400050</xdr:colOff>
      <xdr:row>69</xdr:row>
      <xdr:rowOff>57149</xdr:rowOff>
    </xdr:from>
    <xdr:to>
      <xdr:col>10</xdr:col>
      <xdr:colOff>76200</xdr:colOff>
      <xdr:row>101</xdr:row>
      <xdr:rowOff>123825</xdr:rowOff>
    </xdr:to>
    <xdr:graphicFrame macro="">
      <xdr:nvGraphicFramePr>
        <xdr:cNvPr id="3" name="Chart 2">
          <a:extLst>
            <a:ext uri="{FF2B5EF4-FFF2-40B4-BE49-F238E27FC236}">
              <a16:creationId xmlns:a16="http://schemas.microsoft.com/office/drawing/2014/main" id="{D21982A0-ABE4-4AF8-A19D-ACB0AE6B0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579120</xdr:colOff>
      <xdr:row>0</xdr:row>
      <xdr:rowOff>177165</xdr:rowOff>
    </xdr:from>
    <xdr:to>
      <xdr:col>21</xdr:col>
      <xdr:colOff>560070</xdr:colOff>
      <xdr:row>13</xdr:row>
      <xdr:rowOff>160020</xdr:rowOff>
    </xdr:to>
    <xdr:graphicFrame macro="">
      <xdr:nvGraphicFramePr>
        <xdr:cNvPr id="4" name="Chart 3">
          <a:extLst>
            <a:ext uri="{FF2B5EF4-FFF2-40B4-BE49-F238E27FC236}">
              <a16:creationId xmlns:a16="http://schemas.microsoft.com/office/drawing/2014/main" id="{142801E8-2856-40BB-8A38-D3ED12372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4C210-4BCA-4F09-8EC1-6BA97DDC55A1}">
  <dimension ref="A1:JC50"/>
  <sheetViews>
    <sheetView workbookViewId="0">
      <selection activeCell="CX1" sqref="CX1"/>
    </sheetView>
  </sheetViews>
  <sheetFormatPr defaultRowHeight="14.4" x14ac:dyDescent="0.3"/>
  <cols>
    <col min="1" max="1" width="19.6640625" bestFit="1" customWidth="1"/>
    <col min="89" max="89" width="25.77734375" bestFit="1" customWidth="1"/>
    <col min="92" max="92" width="25.77734375" bestFit="1" customWidth="1"/>
    <col min="95" max="95" width="25.77734375" bestFit="1" customWidth="1"/>
    <col min="263" max="263" width="15.44140625" bestFit="1" customWidth="1"/>
  </cols>
  <sheetData>
    <row r="1" spans="1:263" x14ac:dyDescent="0.3">
      <c r="A1" s="1" t="s">
        <v>1671</v>
      </c>
      <c r="B1" t="s">
        <v>1862</v>
      </c>
      <c r="C1" t="s">
        <v>1863</v>
      </c>
      <c r="D1" t="s">
        <v>1864</v>
      </c>
      <c r="E1" t="s">
        <v>1865</v>
      </c>
      <c r="F1" t="s">
        <v>1866</v>
      </c>
      <c r="G1" t="s">
        <v>1867</v>
      </c>
      <c r="H1" t="s">
        <v>1868</v>
      </c>
      <c r="I1" t="s">
        <v>1869</v>
      </c>
      <c r="J1" t="s">
        <v>1870</v>
      </c>
      <c r="K1" t="s">
        <v>1871</v>
      </c>
      <c r="L1" t="s">
        <v>1872</v>
      </c>
      <c r="M1" t="s">
        <v>1873</v>
      </c>
      <c r="N1" t="s">
        <v>1874</v>
      </c>
      <c r="O1" t="s">
        <v>1875</v>
      </c>
      <c r="P1" t="s">
        <v>1876</v>
      </c>
      <c r="Q1" t="s">
        <v>1877</v>
      </c>
      <c r="R1" t="s">
        <v>1878</v>
      </c>
      <c r="S1" t="s">
        <v>1879</v>
      </c>
      <c r="T1" t="s">
        <v>1880</v>
      </c>
      <c r="U1" t="s">
        <v>1881</v>
      </c>
      <c r="V1" t="s">
        <v>1882</v>
      </c>
      <c r="W1" t="s">
        <v>1883</v>
      </c>
      <c r="X1" t="s">
        <v>1884</v>
      </c>
      <c r="Y1" t="s">
        <v>1885</v>
      </c>
      <c r="Z1" t="s">
        <v>1886</v>
      </c>
      <c r="AA1" t="s">
        <v>1887</v>
      </c>
      <c r="AB1" t="s">
        <v>1888</v>
      </c>
      <c r="AC1" t="s">
        <v>1889</v>
      </c>
      <c r="AD1" t="s">
        <v>1890</v>
      </c>
      <c r="AE1" t="s">
        <v>1891</v>
      </c>
      <c r="AF1" t="s">
        <v>1892</v>
      </c>
      <c r="AG1" t="s">
        <v>1893</v>
      </c>
      <c r="AH1" t="s">
        <v>1894</v>
      </c>
      <c r="AI1" t="s">
        <v>1895</v>
      </c>
      <c r="AJ1" t="s">
        <v>1896</v>
      </c>
      <c r="AK1" t="s">
        <v>1897</v>
      </c>
      <c r="AL1" t="s">
        <v>1898</v>
      </c>
      <c r="AM1" t="s">
        <v>1899</v>
      </c>
      <c r="AN1" t="s">
        <v>1900</v>
      </c>
      <c r="AO1" t="s">
        <v>1901</v>
      </c>
      <c r="AP1" t="s">
        <v>1902</v>
      </c>
      <c r="AQ1" t="s">
        <v>1903</v>
      </c>
      <c r="AR1" t="s">
        <v>1904</v>
      </c>
      <c r="AS1" t="s">
        <v>1905</v>
      </c>
      <c r="AT1" t="s">
        <v>1906</v>
      </c>
      <c r="AU1" t="s">
        <v>1907</v>
      </c>
      <c r="AV1" t="s">
        <v>1908</v>
      </c>
      <c r="AW1" t="s">
        <v>1909</v>
      </c>
      <c r="AX1" t="s">
        <v>1910</v>
      </c>
      <c r="AY1" t="s">
        <v>1911</v>
      </c>
      <c r="AZ1" t="s">
        <v>1912</v>
      </c>
      <c r="BA1" t="s">
        <v>1913</v>
      </c>
      <c r="BB1" t="s">
        <v>1914</v>
      </c>
      <c r="BC1" t="s">
        <v>1915</v>
      </c>
      <c r="BD1" t="s">
        <v>1916</v>
      </c>
      <c r="BE1" t="s">
        <v>1917</v>
      </c>
      <c r="BF1" t="s">
        <v>1918</v>
      </c>
      <c r="BG1" t="s">
        <v>1919</v>
      </c>
      <c r="BH1" t="s">
        <v>1920</v>
      </c>
      <c r="BI1" t="s">
        <v>1921</v>
      </c>
      <c r="BJ1" t="s">
        <v>1922</v>
      </c>
      <c r="BK1" t="s">
        <v>1923</v>
      </c>
      <c r="BL1" t="s">
        <v>1924</v>
      </c>
      <c r="BM1" t="s">
        <v>1925</v>
      </c>
      <c r="BN1" t="s">
        <v>1926</v>
      </c>
      <c r="BO1" t="s">
        <v>1927</v>
      </c>
      <c r="BP1" t="s">
        <v>1928</v>
      </c>
      <c r="BQ1" t="s">
        <v>1929</v>
      </c>
      <c r="BR1" t="s">
        <v>1930</v>
      </c>
      <c r="BS1" t="s">
        <v>1931</v>
      </c>
      <c r="BT1" t="s">
        <v>1932</v>
      </c>
      <c r="BU1" t="s">
        <v>1933</v>
      </c>
      <c r="BV1" t="s">
        <v>1934</v>
      </c>
      <c r="BW1" t="s">
        <v>1935</v>
      </c>
      <c r="BX1" t="s">
        <v>1936</v>
      </c>
      <c r="BY1" t="s">
        <v>1937</v>
      </c>
      <c r="BZ1" t="s">
        <v>1938</v>
      </c>
      <c r="CA1" t="s">
        <v>1939</v>
      </c>
      <c r="CB1" t="s">
        <v>1940</v>
      </c>
      <c r="CC1" t="s">
        <v>1941</v>
      </c>
      <c r="CD1" t="s">
        <v>1942</v>
      </c>
      <c r="CE1" t="s">
        <v>1943</v>
      </c>
      <c r="CF1" t="s">
        <v>1944</v>
      </c>
      <c r="CG1" t="s">
        <v>1945</v>
      </c>
      <c r="CH1" t="s">
        <v>1946</v>
      </c>
      <c r="CI1" t="s">
        <v>1947</v>
      </c>
      <c r="CJ1" t="s">
        <v>1948</v>
      </c>
      <c r="CK1" t="s">
        <v>1949</v>
      </c>
      <c r="CL1" t="s">
        <v>1950</v>
      </c>
      <c r="CM1" t="s">
        <v>1951</v>
      </c>
      <c r="CN1" t="s">
        <v>1952</v>
      </c>
      <c r="CO1" t="s">
        <v>1953</v>
      </c>
      <c r="CP1" t="s">
        <v>1954</v>
      </c>
      <c r="CQ1" t="s">
        <v>1955</v>
      </c>
      <c r="CR1" t="s">
        <v>1956</v>
      </c>
      <c r="CS1" t="s">
        <v>1957</v>
      </c>
      <c r="CT1" t="s">
        <v>1958</v>
      </c>
      <c r="CU1" t="s">
        <v>1959</v>
      </c>
      <c r="CV1" t="s">
        <v>1960</v>
      </c>
      <c r="CW1" t="s">
        <v>1961</v>
      </c>
      <c r="CX1" t="s">
        <v>1962</v>
      </c>
      <c r="CY1" t="s">
        <v>1963</v>
      </c>
      <c r="CZ1" t="s">
        <v>1964</v>
      </c>
      <c r="DA1" t="s">
        <v>1965</v>
      </c>
      <c r="DB1" t="s">
        <v>1966</v>
      </c>
      <c r="DC1" t="s">
        <v>1967</v>
      </c>
      <c r="DD1" t="s">
        <v>1968</v>
      </c>
      <c r="DE1" t="s">
        <v>1969</v>
      </c>
      <c r="DF1" t="s">
        <v>1970</v>
      </c>
      <c r="DG1" t="s">
        <v>1971</v>
      </c>
      <c r="DH1" t="s">
        <v>1972</v>
      </c>
      <c r="DI1" t="s">
        <v>1973</v>
      </c>
      <c r="DJ1" t="s">
        <v>1974</v>
      </c>
      <c r="DK1" t="s">
        <v>1975</v>
      </c>
      <c r="DL1" t="s">
        <v>1976</v>
      </c>
      <c r="DM1" t="s">
        <v>1977</v>
      </c>
      <c r="DN1" t="s">
        <v>1978</v>
      </c>
      <c r="DO1" t="s">
        <v>1979</v>
      </c>
      <c r="DP1" t="s">
        <v>1980</v>
      </c>
      <c r="DQ1" t="s">
        <v>1981</v>
      </c>
      <c r="DR1" t="s">
        <v>1982</v>
      </c>
      <c r="DS1" t="s">
        <v>1983</v>
      </c>
      <c r="DT1" t="s">
        <v>1984</v>
      </c>
      <c r="DU1" t="s">
        <v>1985</v>
      </c>
      <c r="DV1" t="s">
        <v>1986</v>
      </c>
      <c r="DW1" t="s">
        <v>1987</v>
      </c>
      <c r="DX1" t="s">
        <v>1988</v>
      </c>
      <c r="DY1" t="s">
        <v>1989</v>
      </c>
      <c r="DZ1" t="s">
        <v>1990</v>
      </c>
      <c r="EA1" t="s">
        <v>1991</v>
      </c>
      <c r="EB1" t="s">
        <v>1992</v>
      </c>
      <c r="EC1" t="s">
        <v>1993</v>
      </c>
      <c r="ED1" t="s">
        <v>1994</v>
      </c>
      <c r="EE1" t="s">
        <v>1995</v>
      </c>
      <c r="EF1" t="s">
        <v>1996</v>
      </c>
      <c r="EG1" t="s">
        <v>1997</v>
      </c>
      <c r="EH1" t="s">
        <v>1998</v>
      </c>
      <c r="EI1" t="s">
        <v>1999</v>
      </c>
      <c r="EJ1" t="s">
        <v>2000</v>
      </c>
      <c r="EK1" t="s">
        <v>2001</v>
      </c>
      <c r="EL1" t="s">
        <v>2002</v>
      </c>
      <c r="EM1" t="s">
        <v>2003</v>
      </c>
      <c r="EN1" t="s">
        <v>2004</v>
      </c>
      <c r="EO1" t="s">
        <v>2005</v>
      </c>
      <c r="EP1" t="s">
        <v>2006</v>
      </c>
      <c r="EQ1" t="s">
        <v>2007</v>
      </c>
      <c r="ER1" t="s">
        <v>2008</v>
      </c>
      <c r="ES1" t="s">
        <v>2009</v>
      </c>
      <c r="ET1" t="s">
        <v>2010</v>
      </c>
      <c r="EU1" t="s">
        <v>2011</v>
      </c>
      <c r="EV1" t="s">
        <v>2012</v>
      </c>
      <c r="EW1" t="s">
        <v>2013</v>
      </c>
      <c r="EX1" t="s">
        <v>2014</v>
      </c>
      <c r="EY1" t="s">
        <v>2015</v>
      </c>
      <c r="EZ1" t="s">
        <v>2016</v>
      </c>
      <c r="FA1" t="s">
        <v>2017</v>
      </c>
      <c r="FB1" t="s">
        <v>2018</v>
      </c>
      <c r="FC1" t="s">
        <v>2019</v>
      </c>
      <c r="FD1" t="s">
        <v>2020</v>
      </c>
      <c r="FE1" t="s">
        <v>2021</v>
      </c>
      <c r="FF1" t="s">
        <v>2022</v>
      </c>
      <c r="FG1" t="s">
        <v>2023</v>
      </c>
      <c r="FH1" t="s">
        <v>2024</v>
      </c>
      <c r="FI1" t="s">
        <v>2025</v>
      </c>
      <c r="FJ1" t="s">
        <v>2026</v>
      </c>
      <c r="FK1" t="s">
        <v>2027</v>
      </c>
      <c r="FL1" t="s">
        <v>2028</v>
      </c>
      <c r="FM1" t="s">
        <v>2029</v>
      </c>
      <c r="FN1" t="s">
        <v>2030</v>
      </c>
      <c r="FO1" t="s">
        <v>2031</v>
      </c>
      <c r="FP1" t="s">
        <v>2032</v>
      </c>
      <c r="FQ1" t="s">
        <v>2033</v>
      </c>
      <c r="FR1" t="s">
        <v>2034</v>
      </c>
      <c r="FS1" t="s">
        <v>2035</v>
      </c>
      <c r="FT1" t="s">
        <v>2036</v>
      </c>
      <c r="FU1" t="s">
        <v>2037</v>
      </c>
      <c r="FV1" t="s">
        <v>2038</v>
      </c>
      <c r="FW1" t="s">
        <v>2039</v>
      </c>
      <c r="FX1" t="s">
        <v>2040</v>
      </c>
      <c r="FY1" t="s">
        <v>2041</v>
      </c>
      <c r="FZ1" t="s">
        <v>2042</v>
      </c>
      <c r="GA1" t="s">
        <v>2043</v>
      </c>
      <c r="GB1" t="s">
        <v>2044</v>
      </c>
      <c r="GC1" t="s">
        <v>2045</v>
      </c>
      <c r="GD1" t="s">
        <v>2046</v>
      </c>
      <c r="GE1" t="s">
        <v>2047</v>
      </c>
      <c r="GF1" t="s">
        <v>2048</v>
      </c>
      <c r="GG1" t="s">
        <v>2049</v>
      </c>
      <c r="GH1" t="s">
        <v>2050</v>
      </c>
      <c r="GI1" t="s">
        <v>2051</v>
      </c>
      <c r="GJ1" t="s">
        <v>2052</v>
      </c>
      <c r="GK1" t="s">
        <v>2053</v>
      </c>
      <c r="GL1" t="s">
        <v>2054</v>
      </c>
      <c r="GM1" t="s">
        <v>2055</v>
      </c>
      <c r="GN1" t="s">
        <v>2056</v>
      </c>
      <c r="GO1" t="s">
        <v>2057</v>
      </c>
      <c r="GP1" t="s">
        <v>2058</v>
      </c>
      <c r="GQ1" t="s">
        <v>2059</v>
      </c>
      <c r="GR1" t="s">
        <v>2060</v>
      </c>
      <c r="GS1" t="s">
        <v>2061</v>
      </c>
      <c r="GT1" t="s">
        <v>2062</v>
      </c>
      <c r="GU1" t="s">
        <v>2063</v>
      </c>
      <c r="GV1" t="s">
        <v>2064</v>
      </c>
      <c r="GW1" t="s">
        <v>2065</v>
      </c>
      <c r="GX1" t="s">
        <v>2066</v>
      </c>
      <c r="GY1" t="s">
        <v>2067</v>
      </c>
      <c r="GZ1" t="s">
        <v>2068</v>
      </c>
      <c r="HA1" t="s">
        <v>2069</v>
      </c>
      <c r="HB1" t="s">
        <v>2070</v>
      </c>
      <c r="HC1" t="s">
        <v>2071</v>
      </c>
      <c r="HD1" t="s">
        <v>2072</v>
      </c>
      <c r="HE1" t="s">
        <v>2073</v>
      </c>
      <c r="HF1" t="s">
        <v>2074</v>
      </c>
      <c r="HG1" t="s">
        <v>2075</v>
      </c>
      <c r="HH1" t="s">
        <v>2076</v>
      </c>
      <c r="HI1" t="s">
        <v>2077</v>
      </c>
      <c r="HJ1" t="s">
        <v>2078</v>
      </c>
      <c r="HK1" t="s">
        <v>2079</v>
      </c>
      <c r="HL1" t="s">
        <v>2080</v>
      </c>
      <c r="HM1" t="s">
        <v>2081</v>
      </c>
      <c r="HN1" t="s">
        <v>2082</v>
      </c>
      <c r="HO1" t="s">
        <v>2083</v>
      </c>
      <c r="HP1" t="s">
        <v>2084</v>
      </c>
      <c r="HQ1" t="s">
        <v>2085</v>
      </c>
      <c r="HR1" t="s">
        <v>2086</v>
      </c>
      <c r="HS1" t="s">
        <v>2087</v>
      </c>
      <c r="HT1" t="s">
        <v>2088</v>
      </c>
      <c r="HU1" t="s">
        <v>2089</v>
      </c>
      <c r="HV1" t="s">
        <v>2090</v>
      </c>
      <c r="HW1" t="s">
        <v>2091</v>
      </c>
      <c r="HX1" t="s">
        <v>2092</v>
      </c>
      <c r="HY1" t="s">
        <v>2093</v>
      </c>
      <c r="HZ1" t="s">
        <v>2094</v>
      </c>
      <c r="IA1" t="s">
        <v>2095</v>
      </c>
      <c r="IB1" t="s">
        <v>2096</v>
      </c>
      <c r="IC1" t="s">
        <v>2097</v>
      </c>
      <c r="ID1" t="s">
        <v>2098</v>
      </c>
      <c r="IE1" t="s">
        <v>2099</v>
      </c>
      <c r="IF1" t="s">
        <v>2100</v>
      </c>
      <c r="IG1" t="s">
        <v>2101</v>
      </c>
      <c r="IH1" t="s">
        <v>2102</v>
      </c>
      <c r="II1" t="s">
        <v>2103</v>
      </c>
      <c r="IJ1" t="s">
        <v>2104</v>
      </c>
      <c r="IK1" t="s">
        <v>2105</v>
      </c>
      <c r="IL1" t="s">
        <v>2106</v>
      </c>
      <c r="IM1" t="s">
        <v>2107</v>
      </c>
      <c r="IN1" t="s">
        <v>2108</v>
      </c>
      <c r="IO1" t="s">
        <v>2109</v>
      </c>
      <c r="IP1" t="s">
        <v>2110</v>
      </c>
      <c r="IQ1" t="s">
        <v>2111</v>
      </c>
      <c r="IR1" t="s">
        <v>2112</v>
      </c>
      <c r="IS1" t="s">
        <v>2113</v>
      </c>
      <c r="IT1" t="s">
        <v>2114</v>
      </c>
      <c r="IU1" t="s">
        <v>2115</v>
      </c>
      <c r="IV1" t="s">
        <v>2116</v>
      </c>
      <c r="IW1" t="s">
        <v>2117</v>
      </c>
      <c r="IX1" t="s">
        <v>2118</v>
      </c>
      <c r="IY1" t="s">
        <v>2119</v>
      </c>
      <c r="IZ1" t="s">
        <v>2120</v>
      </c>
      <c r="JA1" t="s">
        <v>2121</v>
      </c>
      <c r="JB1" t="s">
        <v>2122</v>
      </c>
      <c r="JC1" s="1" t="s">
        <v>1851</v>
      </c>
    </row>
    <row r="2" spans="1:263" x14ac:dyDescent="0.3">
      <c r="A2" t="s">
        <v>1375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v>0</v>
      </c>
      <c r="FZ2">
        <v>0</v>
      </c>
      <c r="GA2">
        <v>0</v>
      </c>
      <c r="GB2">
        <v>0</v>
      </c>
      <c r="GC2">
        <v>0</v>
      </c>
      <c r="GD2">
        <v>0</v>
      </c>
      <c r="GE2">
        <v>0</v>
      </c>
      <c r="GF2">
        <v>0</v>
      </c>
      <c r="GG2">
        <v>0</v>
      </c>
      <c r="GH2">
        <v>0</v>
      </c>
      <c r="GI2">
        <v>0</v>
      </c>
      <c r="GJ2">
        <v>0</v>
      </c>
      <c r="GK2">
        <v>0</v>
      </c>
      <c r="GL2">
        <v>0</v>
      </c>
      <c r="GM2">
        <v>0</v>
      </c>
      <c r="GN2">
        <v>0</v>
      </c>
      <c r="GO2">
        <v>0</v>
      </c>
      <c r="GP2">
        <v>0</v>
      </c>
      <c r="GQ2">
        <v>0</v>
      </c>
      <c r="GR2">
        <v>0</v>
      </c>
      <c r="GS2">
        <v>0</v>
      </c>
      <c r="GT2">
        <v>0</v>
      </c>
      <c r="GU2">
        <v>0.52876900337268795</v>
      </c>
      <c r="GV2">
        <v>0.98575533138207605</v>
      </c>
      <c r="GW2">
        <v>16094.0717861016</v>
      </c>
      <c r="GX2">
        <v>0.35672045596100199</v>
      </c>
      <c r="GY2">
        <v>0.70064959350123301</v>
      </c>
      <c r="GZ2">
        <v>16159.084317703</v>
      </c>
      <c r="HA2">
        <v>0</v>
      </c>
      <c r="HB2">
        <v>0</v>
      </c>
      <c r="HC2">
        <v>0</v>
      </c>
      <c r="HD2">
        <v>0</v>
      </c>
      <c r="HE2">
        <v>0</v>
      </c>
      <c r="HF2">
        <v>0</v>
      </c>
      <c r="HG2">
        <v>0</v>
      </c>
      <c r="HH2">
        <v>0</v>
      </c>
      <c r="HI2">
        <v>0</v>
      </c>
      <c r="HJ2">
        <v>0</v>
      </c>
      <c r="HK2">
        <v>0</v>
      </c>
      <c r="HL2">
        <v>0</v>
      </c>
      <c r="HM2">
        <v>0</v>
      </c>
      <c r="HN2">
        <v>0</v>
      </c>
      <c r="HO2">
        <v>0</v>
      </c>
      <c r="HP2">
        <v>0</v>
      </c>
      <c r="HQ2">
        <v>0</v>
      </c>
      <c r="HR2">
        <v>0</v>
      </c>
      <c r="HS2">
        <v>0</v>
      </c>
      <c r="HT2">
        <v>0</v>
      </c>
      <c r="HU2">
        <v>0</v>
      </c>
      <c r="HV2">
        <v>0</v>
      </c>
      <c r="HW2">
        <v>0</v>
      </c>
      <c r="HX2">
        <v>0</v>
      </c>
      <c r="HY2">
        <v>0</v>
      </c>
      <c r="HZ2">
        <v>0</v>
      </c>
      <c r="IA2">
        <v>0</v>
      </c>
      <c r="IB2">
        <v>0</v>
      </c>
      <c r="IC2">
        <v>0</v>
      </c>
      <c r="ID2">
        <v>0</v>
      </c>
      <c r="IE2">
        <v>0</v>
      </c>
      <c r="IF2">
        <v>0</v>
      </c>
      <c r="IG2">
        <v>0</v>
      </c>
      <c r="IH2">
        <v>0</v>
      </c>
      <c r="II2">
        <v>0</v>
      </c>
      <c r="IJ2">
        <v>0</v>
      </c>
      <c r="IK2">
        <v>0</v>
      </c>
      <c r="IL2">
        <v>0</v>
      </c>
      <c r="IM2">
        <v>0</v>
      </c>
      <c r="IN2">
        <v>0.52920108847215597</v>
      </c>
      <c r="IO2">
        <v>0.98559777336594201</v>
      </c>
      <c r="IP2">
        <v>15829.7339344992</v>
      </c>
      <c r="IQ2">
        <v>0</v>
      </c>
      <c r="IR2">
        <v>0</v>
      </c>
      <c r="IS2">
        <v>0</v>
      </c>
      <c r="IT2">
        <v>0</v>
      </c>
      <c r="IU2">
        <v>0</v>
      </c>
      <c r="IV2">
        <v>0</v>
      </c>
      <c r="IW2">
        <v>0</v>
      </c>
      <c r="IX2">
        <v>0</v>
      </c>
      <c r="IY2">
        <v>0</v>
      </c>
      <c r="IZ2">
        <v>0</v>
      </c>
      <c r="JA2">
        <v>0</v>
      </c>
      <c r="JB2">
        <v>0</v>
      </c>
      <c r="JC2">
        <f t="shared" ref="JC2:JC49" si="0">87-(COUNTIF(B2:JB2,0)/3)</f>
        <v>3</v>
      </c>
    </row>
    <row r="3" spans="1:263" x14ac:dyDescent="0.3">
      <c r="A3" t="s">
        <v>1333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0.14408012054466099</v>
      </c>
      <c r="AA3">
        <v>0.61226540101288496</v>
      </c>
      <c r="AB3">
        <v>83.449598728424704</v>
      </c>
      <c r="AC3">
        <v>0</v>
      </c>
      <c r="AD3">
        <v>0</v>
      </c>
      <c r="AE3">
        <v>0</v>
      </c>
      <c r="AF3">
        <v>0.348083203764886</v>
      </c>
      <c r="AG3">
        <v>0.84856846709470002</v>
      </c>
      <c r="AH3">
        <v>10078.5328380666</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0.354279430235797</v>
      </c>
      <c r="DJ3">
        <v>0.81007579351456405</v>
      </c>
      <c r="DK3">
        <v>4091.0650722219498</v>
      </c>
      <c r="DL3">
        <v>0</v>
      </c>
      <c r="DM3">
        <v>0</v>
      </c>
      <c r="DN3">
        <v>0</v>
      </c>
      <c r="DO3">
        <v>0</v>
      </c>
      <c r="DP3">
        <v>0</v>
      </c>
      <c r="DQ3">
        <v>0</v>
      </c>
      <c r="DR3">
        <v>0</v>
      </c>
      <c r="DS3">
        <v>0</v>
      </c>
      <c r="DT3">
        <v>0</v>
      </c>
      <c r="DU3">
        <v>0</v>
      </c>
      <c r="DV3">
        <v>0</v>
      </c>
      <c r="DW3">
        <v>0</v>
      </c>
      <c r="DX3">
        <v>0.34248619662886198</v>
      </c>
      <c r="DY3">
        <v>0.78888571296677901</v>
      </c>
      <c r="DZ3">
        <v>8518.28423597457</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0.35896019717369798</v>
      </c>
      <c r="EW3">
        <v>0.841136380449097</v>
      </c>
      <c r="EX3">
        <v>11192.961631018599</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0.38330714264967702</v>
      </c>
      <c r="GA3">
        <v>0.88188781153457196</v>
      </c>
      <c r="GB3">
        <v>642.59747188589097</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0.35111326994516801</v>
      </c>
      <c r="HB3">
        <v>0.898727115662045</v>
      </c>
      <c r="HC3">
        <v>16896.4093055167</v>
      </c>
      <c r="HD3">
        <v>0</v>
      </c>
      <c r="HE3">
        <v>0</v>
      </c>
      <c r="HF3">
        <v>0</v>
      </c>
      <c r="HG3">
        <v>0</v>
      </c>
      <c r="HH3">
        <v>0</v>
      </c>
      <c r="HI3">
        <v>0</v>
      </c>
      <c r="HJ3">
        <v>0</v>
      </c>
      <c r="HK3">
        <v>0</v>
      </c>
      <c r="HL3">
        <v>0</v>
      </c>
      <c r="HM3">
        <v>0</v>
      </c>
      <c r="HN3">
        <v>0</v>
      </c>
      <c r="HO3">
        <v>0</v>
      </c>
      <c r="HP3">
        <v>0</v>
      </c>
      <c r="HQ3">
        <v>0</v>
      </c>
      <c r="HR3">
        <v>0</v>
      </c>
      <c r="HS3">
        <v>0.32975038575103299</v>
      </c>
      <c r="HT3">
        <v>0.81070671055094801</v>
      </c>
      <c r="HU3">
        <v>10608.078611901101</v>
      </c>
      <c r="HV3">
        <v>0.222489067167218</v>
      </c>
      <c r="HW3">
        <v>0.69068102099192796</v>
      </c>
      <c r="HX3">
        <v>656.43451018505095</v>
      </c>
      <c r="HY3">
        <v>0.27907974042089401</v>
      </c>
      <c r="HZ3">
        <v>0.99853918794082897</v>
      </c>
      <c r="IA3">
        <v>87.6324957312181</v>
      </c>
      <c r="IB3">
        <v>0.353098700330778</v>
      </c>
      <c r="IC3">
        <v>0.997602687472399</v>
      </c>
      <c r="ID3">
        <v>4296.3642421977902</v>
      </c>
      <c r="IE3">
        <v>0</v>
      </c>
      <c r="IF3">
        <v>0</v>
      </c>
      <c r="IG3">
        <v>0</v>
      </c>
      <c r="IH3">
        <v>0</v>
      </c>
      <c r="II3">
        <v>0</v>
      </c>
      <c r="IJ3">
        <v>0</v>
      </c>
      <c r="IK3">
        <v>0</v>
      </c>
      <c r="IL3">
        <v>0</v>
      </c>
      <c r="IM3">
        <v>0</v>
      </c>
      <c r="IN3">
        <v>0</v>
      </c>
      <c r="IO3">
        <v>0</v>
      </c>
      <c r="IP3">
        <v>0</v>
      </c>
      <c r="IQ3">
        <v>0</v>
      </c>
      <c r="IR3">
        <v>0</v>
      </c>
      <c r="IS3">
        <v>0</v>
      </c>
      <c r="IT3">
        <v>0</v>
      </c>
      <c r="IU3">
        <v>0</v>
      </c>
      <c r="IV3">
        <v>0</v>
      </c>
      <c r="IW3">
        <v>0</v>
      </c>
      <c r="IX3">
        <v>0</v>
      </c>
      <c r="IY3">
        <v>0</v>
      </c>
      <c r="IZ3">
        <v>0</v>
      </c>
      <c r="JA3">
        <v>0</v>
      </c>
      <c r="JB3">
        <v>0</v>
      </c>
      <c r="JC3">
        <f t="shared" si="0"/>
        <v>11</v>
      </c>
    </row>
    <row r="4" spans="1:263" x14ac:dyDescent="0.3">
      <c r="A4" t="s">
        <v>1345</v>
      </c>
      <c r="B4">
        <v>0</v>
      </c>
      <c r="C4">
        <v>0</v>
      </c>
      <c r="D4">
        <v>0</v>
      </c>
      <c r="E4">
        <v>0</v>
      </c>
      <c r="F4">
        <v>0</v>
      </c>
      <c r="G4">
        <v>0</v>
      </c>
      <c r="H4">
        <v>0</v>
      </c>
      <c r="I4">
        <v>0</v>
      </c>
      <c r="J4">
        <v>0</v>
      </c>
      <c r="K4">
        <v>0</v>
      </c>
      <c r="L4">
        <v>0</v>
      </c>
      <c r="M4">
        <v>0</v>
      </c>
      <c r="N4">
        <v>0.57752081434050095</v>
      </c>
      <c r="O4">
        <v>0.99341101794342002</v>
      </c>
      <c r="P4">
        <v>1048.03630024472</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0.44700634256576</v>
      </c>
      <c r="BH4">
        <v>0.99810646088420496</v>
      </c>
      <c r="BI4">
        <v>9649.38969634983</v>
      </c>
      <c r="BJ4">
        <v>0.39323530595369999</v>
      </c>
      <c r="BK4">
        <v>0.99985894968580602</v>
      </c>
      <c r="BL4">
        <v>2602.93485758836</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0.57752081434050095</v>
      </c>
      <c r="HN4">
        <v>0.99341101794342002</v>
      </c>
      <c r="HO4">
        <v>1048.03630024472</v>
      </c>
      <c r="HP4">
        <v>0</v>
      </c>
      <c r="HQ4">
        <v>0</v>
      </c>
      <c r="HR4">
        <v>0</v>
      </c>
      <c r="HS4">
        <v>0</v>
      </c>
      <c r="HT4">
        <v>0</v>
      </c>
      <c r="HU4">
        <v>0</v>
      </c>
      <c r="HV4">
        <v>0</v>
      </c>
      <c r="HW4">
        <v>0</v>
      </c>
      <c r="HX4">
        <v>0</v>
      </c>
      <c r="HY4">
        <v>0</v>
      </c>
      <c r="HZ4">
        <v>0</v>
      </c>
      <c r="IA4">
        <v>0</v>
      </c>
      <c r="IB4">
        <v>0</v>
      </c>
      <c r="IC4">
        <v>0</v>
      </c>
      <c r="ID4">
        <v>0</v>
      </c>
      <c r="IE4">
        <v>0</v>
      </c>
      <c r="IF4">
        <v>0</v>
      </c>
      <c r="IG4">
        <v>0</v>
      </c>
      <c r="IH4">
        <v>0</v>
      </c>
      <c r="II4">
        <v>0</v>
      </c>
      <c r="IJ4">
        <v>0</v>
      </c>
      <c r="IK4">
        <v>0</v>
      </c>
      <c r="IL4">
        <v>0</v>
      </c>
      <c r="IM4">
        <v>0</v>
      </c>
      <c r="IN4">
        <v>0</v>
      </c>
      <c r="IO4">
        <v>0</v>
      </c>
      <c r="IP4">
        <v>0</v>
      </c>
      <c r="IQ4">
        <v>0</v>
      </c>
      <c r="IR4">
        <v>0</v>
      </c>
      <c r="IS4">
        <v>0</v>
      </c>
      <c r="IT4">
        <v>0</v>
      </c>
      <c r="IU4">
        <v>0</v>
      </c>
      <c r="IV4">
        <v>0</v>
      </c>
      <c r="IW4">
        <v>0</v>
      </c>
      <c r="IX4">
        <v>0</v>
      </c>
      <c r="IY4">
        <v>0</v>
      </c>
      <c r="IZ4">
        <v>0</v>
      </c>
      <c r="JA4">
        <v>0</v>
      </c>
      <c r="JB4">
        <v>0</v>
      </c>
      <c r="JC4">
        <f t="shared" si="0"/>
        <v>4</v>
      </c>
    </row>
    <row r="5" spans="1:263" x14ac:dyDescent="0.3">
      <c r="A5" t="s">
        <v>1348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0.33501949119576102</v>
      </c>
      <c r="FU5">
        <v>0.89148435627820599</v>
      </c>
      <c r="FV5">
        <v>8277.2027932961391</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0.34868528608815902</v>
      </c>
      <c r="HE5">
        <v>0.94674446336923301</v>
      </c>
      <c r="HF5">
        <v>6039.0200543791698</v>
      </c>
      <c r="HG5">
        <v>0</v>
      </c>
      <c r="HH5">
        <v>0</v>
      </c>
      <c r="HI5">
        <v>0</v>
      </c>
      <c r="HJ5">
        <v>0</v>
      </c>
      <c r="HK5">
        <v>0</v>
      </c>
      <c r="HL5">
        <v>0</v>
      </c>
      <c r="HM5">
        <v>0</v>
      </c>
      <c r="HN5">
        <v>0</v>
      </c>
      <c r="HO5">
        <v>0</v>
      </c>
      <c r="HP5">
        <v>0</v>
      </c>
      <c r="HQ5">
        <v>0</v>
      </c>
      <c r="HR5">
        <v>0</v>
      </c>
      <c r="HS5">
        <v>0</v>
      </c>
      <c r="HT5">
        <v>0</v>
      </c>
      <c r="HU5">
        <v>0</v>
      </c>
      <c r="HV5">
        <v>0.283372810696571</v>
      </c>
      <c r="HW5">
        <v>0.78507109246044404</v>
      </c>
      <c r="HX5">
        <v>25.341860987026202</v>
      </c>
      <c r="HY5">
        <v>0</v>
      </c>
      <c r="HZ5">
        <v>0</v>
      </c>
      <c r="IA5">
        <v>0</v>
      </c>
      <c r="IB5">
        <v>0</v>
      </c>
      <c r="IC5">
        <v>0</v>
      </c>
      <c r="ID5">
        <v>0</v>
      </c>
      <c r="IE5">
        <v>0</v>
      </c>
      <c r="IF5">
        <v>0</v>
      </c>
      <c r="IG5">
        <v>0</v>
      </c>
      <c r="IH5">
        <v>0.31105360373487001</v>
      </c>
      <c r="II5">
        <v>0.80025575451294095</v>
      </c>
      <c r="IJ5">
        <v>5272.1435814161496</v>
      </c>
      <c r="IK5">
        <v>0</v>
      </c>
      <c r="IL5">
        <v>0</v>
      </c>
      <c r="IM5">
        <v>0</v>
      </c>
      <c r="IN5">
        <v>0</v>
      </c>
      <c r="IO5">
        <v>0</v>
      </c>
      <c r="IP5">
        <v>0</v>
      </c>
      <c r="IQ5">
        <v>0</v>
      </c>
      <c r="IR5">
        <v>0</v>
      </c>
      <c r="IS5">
        <v>0</v>
      </c>
      <c r="IT5">
        <v>0</v>
      </c>
      <c r="IU5">
        <v>0</v>
      </c>
      <c r="IV5">
        <v>0</v>
      </c>
      <c r="IW5">
        <v>0</v>
      </c>
      <c r="IX5">
        <v>0</v>
      </c>
      <c r="IY5">
        <v>0</v>
      </c>
      <c r="IZ5">
        <v>0</v>
      </c>
      <c r="JA5">
        <v>0</v>
      </c>
      <c r="JB5">
        <v>0</v>
      </c>
      <c r="JC5">
        <f t="shared" si="0"/>
        <v>4</v>
      </c>
    </row>
    <row r="6" spans="1:263" x14ac:dyDescent="0.3">
      <c r="A6" t="s">
        <v>1340</v>
      </c>
      <c r="B6">
        <v>0</v>
      </c>
      <c r="C6">
        <v>0</v>
      </c>
      <c r="D6">
        <v>0</v>
      </c>
      <c r="E6">
        <v>0.25112687589937199</v>
      </c>
      <c r="F6">
        <v>1</v>
      </c>
      <c r="G6">
        <v>8.4832766736696197</v>
      </c>
      <c r="H6">
        <v>0</v>
      </c>
      <c r="I6">
        <v>0</v>
      </c>
      <c r="J6">
        <v>0</v>
      </c>
      <c r="K6">
        <v>0</v>
      </c>
      <c r="L6">
        <v>0</v>
      </c>
      <c r="M6">
        <v>0</v>
      </c>
      <c r="N6">
        <v>0</v>
      </c>
      <c r="O6">
        <v>0</v>
      </c>
      <c r="P6">
        <v>0</v>
      </c>
      <c r="Q6">
        <v>0.41421929089786402</v>
      </c>
      <c r="R6">
        <v>0.99556387388497602</v>
      </c>
      <c r="S6">
        <v>6114.0256217042297</v>
      </c>
      <c r="T6">
        <v>0.42171393974460702</v>
      </c>
      <c r="U6">
        <v>0.99897964065117295</v>
      </c>
      <c r="V6">
        <v>6250.6877022831604</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0.452907356919518</v>
      </c>
      <c r="DV6">
        <v>0.99889807579621803</v>
      </c>
      <c r="DW6">
        <v>3757.5721331640002</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0.42067814763472899</v>
      </c>
      <c r="HH6">
        <v>0.99861865669479699</v>
      </c>
      <c r="HI6">
        <v>9096.3833520085209</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0</v>
      </c>
      <c r="IJ6">
        <v>0</v>
      </c>
      <c r="IK6">
        <v>0</v>
      </c>
      <c r="IL6">
        <v>0</v>
      </c>
      <c r="IM6">
        <v>0</v>
      </c>
      <c r="IN6">
        <v>0</v>
      </c>
      <c r="IO6">
        <v>0</v>
      </c>
      <c r="IP6">
        <v>0</v>
      </c>
      <c r="IQ6">
        <v>0</v>
      </c>
      <c r="IR6">
        <v>0</v>
      </c>
      <c r="IS6">
        <v>0</v>
      </c>
      <c r="IT6">
        <v>0</v>
      </c>
      <c r="IU6">
        <v>0</v>
      </c>
      <c r="IV6">
        <v>0</v>
      </c>
      <c r="IW6">
        <v>0.45218113190048198</v>
      </c>
      <c r="IX6">
        <v>0.99891294339297898</v>
      </c>
      <c r="IY6">
        <v>3570.0860861984502</v>
      </c>
      <c r="IZ6">
        <v>0</v>
      </c>
      <c r="JA6">
        <v>0</v>
      </c>
      <c r="JB6">
        <v>0</v>
      </c>
      <c r="JC6">
        <f t="shared" si="0"/>
        <v>6</v>
      </c>
    </row>
    <row r="7" spans="1:263" x14ac:dyDescent="0.3">
      <c r="A7" t="s">
        <v>1343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0.52121105005228796</v>
      </c>
      <c r="FF7">
        <v>0.97888099164730602</v>
      </c>
      <c r="FG7">
        <v>1985.59330847354</v>
      </c>
      <c r="FH7">
        <v>0</v>
      </c>
      <c r="FI7">
        <v>0</v>
      </c>
      <c r="FJ7">
        <v>0</v>
      </c>
      <c r="FK7">
        <v>0.482778475374537</v>
      </c>
      <c r="FL7">
        <v>0.98793704129376503</v>
      </c>
      <c r="FM7">
        <v>2784.09499812787</v>
      </c>
      <c r="FN7">
        <v>0</v>
      </c>
      <c r="FO7">
        <v>0</v>
      </c>
      <c r="FP7">
        <v>0</v>
      </c>
      <c r="FQ7">
        <v>0</v>
      </c>
      <c r="FR7">
        <v>0</v>
      </c>
      <c r="FS7">
        <v>0</v>
      </c>
      <c r="FT7">
        <v>0.49348231367245898</v>
      </c>
      <c r="FU7">
        <v>0.99705012994301301</v>
      </c>
      <c r="FV7">
        <v>1936.82687369781</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X7">
        <v>0</v>
      </c>
      <c r="IY7">
        <v>0</v>
      </c>
      <c r="IZ7">
        <v>0</v>
      </c>
      <c r="JA7">
        <v>0</v>
      </c>
      <c r="JB7">
        <v>0</v>
      </c>
      <c r="JC7">
        <f t="shared" si="0"/>
        <v>3</v>
      </c>
    </row>
    <row r="8" spans="1:263" x14ac:dyDescent="0.3">
      <c r="A8" t="s">
        <v>1369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0.36600956273063401</v>
      </c>
      <c r="AP8">
        <v>0.74798864210534699</v>
      </c>
      <c r="AQ8">
        <v>3371.38794405001</v>
      </c>
      <c r="AR8">
        <v>0.40242232022579899</v>
      </c>
      <c r="AS8">
        <v>0.85092385137237703</v>
      </c>
      <c r="AT8">
        <v>2689.8108445114099</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0.35721508996761397</v>
      </c>
      <c r="BQ8">
        <v>0.83255049831666805</v>
      </c>
      <c r="BR8">
        <v>6596.1750961941098</v>
      </c>
      <c r="BS8">
        <v>0</v>
      </c>
      <c r="BT8">
        <v>0</v>
      </c>
      <c r="BU8">
        <v>0</v>
      </c>
      <c r="BV8">
        <v>0</v>
      </c>
      <c r="BW8">
        <v>0</v>
      </c>
      <c r="BX8">
        <v>0</v>
      </c>
      <c r="BY8">
        <v>0</v>
      </c>
      <c r="BZ8">
        <v>0</v>
      </c>
      <c r="CA8">
        <v>0</v>
      </c>
      <c r="CB8">
        <v>0</v>
      </c>
      <c r="CC8">
        <v>0</v>
      </c>
      <c r="CD8">
        <v>0</v>
      </c>
      <c r="CE8">
        <v>0.37458727868167702</v>
      </c>
      <c r="CF8">
        <v>0.90476171314242104</v>
      </c>
      <c r="CG8">
        <v>15404.7921131037</v>
      </c>
      <c r="CH8">
        <v>0.383974368497499</v>
      </c>
      <c r="CI8">
        <v>0.75702549482145598</v>
      </c>
      <c r="CJ8">
        <v>407.03166786272601</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0.36581101375474301</v>
      </c>
      <c r="HB8">
        <v>0.92063028120639401</v>
      </c>
      <c r="HC8">
        <v>11967.488072643</v>
      </c>
      <c r="HD8">
        <v>0</v>
      </c>
      <c r="HE8">
        <v>0</v>
      </c>
      <c r="HF8">
        <v>0</v>
      </c>
      <c r="HG8">
        <v>0</v>
      </c>
      <c r="HH8">
        <v>0</v>
      </c>
      <c r="HI8">
        <v>0</v>
      </c>
      <c r="HJ8">
        <v>0.36851728816621598</v>
      </c>
      <c r="HK8">
        <v>0.99636450530674703</v>
      </c>
      <c r="HL8">
        <v>58.091080296968997</v>
      </c>
      <c r="HM8">
        <v>0</v>
      </c>
      <c r="HN8">
        <v>0</v>
      </c>
      <c r="HO8">
        <v>0</v>
      </c>
      <c r="HP8">
        <v>0.37599978327869599</v>
      </c>
      <c r="HQ8">
        <v>0.858441692444882</v>
      </c>
      <c r="HR8">
        <v>9303.3047669540101</v>
      </c>
      <c r="HS8">
        <v>0</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f t="shared" si="0"/>
        <v>8</v>
      </c>
    </row>
    <row r="9" spans="1:263" x14ac:dyDescent="0.3">
      <c r="A9" t="s">
        <v>1826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0.28827516521818503</v>
      </c>
      <c r="BQ9">
        <v>0.92686491694576201</v>
      </c>
      <c r="BR9">
        <v>4357.91215300776</v>
      </c>
      <c r="BS9">
        <v>0</v>
      </c>
      <c r="BT9">
        <v>0</v>
      </c>
      <c r="BU9">
        <v>0</v>
      </c>
      <c r="BV9">
        <v>0</v>
      </c>
      <c r="BW9">
        <v>0</v>
      </c>
      <c r="BX9">
        <v>0</v>
      </c>
      <c r="BY9">
        <v>0</v>
      </c>
      <c r="BZ9">
        <v>0</v>
      </c>
      <c r="CA9">
        <v>0</v>
      </c>
      <c r="CB9">
        <v>0</v>
      </c>
      <c r="CC9">
        <v>0</v>
      </c>
      <c r="CD9">
        <v>0</v>
      </c>
      <c r="CE9">
        <v>0.200106573850929</v>
      </c>
      <c r="CF9">
        <v>0.94826953097979205</v>
      </c>
      <c r="CG9">
        <v>107.346825009079</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0.30602322069985699</v>
      </c>
      <c r="FL9">
        <v>0.85710682343343503</v>
      </c>
      <c r="FM9">
        <v>5380.3515067665203</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0.32651960992916901</v>
      </c>
      <c r="HB9">
        <v>0.74896539333363599</v>
      </c>
      <c r="HC9">
        <v>2636.3735074071401</v>
      </c>
      <c r="HD9">
        <v>0</v>
      </c>
      <c r="HE9">
        <v>0</v>
      </c>
      <c r="HF9">
        <v>0</v>
      </c>
      <c r="HG9">
        <v>0</v>
      </c>
      <c r="HH9">
        <v>0</v>
      </c>
      <c r="HI9">
        <v>0</v>
      </c>
      <c r="HJ9">
        <v>0</v>
      </c>
      <c r="HK9">
        <v>0</v>
      </c>
      <c r="HL9">
        <v>0</v>
      </c>
      <c r="HM9">
        <v>0</v>
      </c>
      <c r="HN9">
        <v>0</v>
      </c>
      <c r="HO9">
        <v>0</v>
      </c>
      <c r="HP9">
        <v>0.28753095349862001</v>
      </c>
      <c r="HQ9">
        <v>0.91663023862462401</v>
      </c>
      <c r="HR9">
        <v>4380.3885597260296</v>
      </c>
      <c r="HS9">
        <v>0</v>
      </c>
      <c r="HT9">
        <v>0</v>
      </c>
      <c r="HU9">
        <v>0</v>
      </c>
      <c r="HV9">
        <v>0</v>
      </c>
      <c r="HW9">
        <v>0</v>
      </c>
      <c r="HX9">
        <v>0</v>
      </c>
      <c r="HY9">
        <v>0</v>
      </c>
      <c r="HZ9">
        <v>0</v>
      </c>
      <c r="IA9">
        <v>0</v>
      </c>
      <c r="IB9">
        <v>0</v>
      </c>
      <c r="IC9">
        <v>0</v>
      </c>
      <c r="ID9">
        <v>0</v>
      </c>
      <c r="IE9">
        <v>0</v>
      </c>
      <c r="IF9">
        <v>0</v>
      </c>
      <c r="IG9">
        <v>0</v>
      </c>
      <c r="IH9">
        <v>0</v>
      </c>
      <c r="II9">
        <v>0</v>
      </c>
      <c r="IJ9">
        <v>0</v>
      </c>
      <c r="IK9">
        <v>0</v>
      </c>
      <c r="IL9">
        <v>0</v>
      </c>
      <c r="IM9">
        <v>0</v>
      </c>
      <c r="IN9">
        <v>0</v>
      </c>
      <c r="IO9">
        <v>0</v>
      </c>
      <c r="IP9">
        <v>0</v>
      </c>
      <c r="IQ9">
        <v>0</v>
      </c>
      <c r="IR9">
        <v>0</v>
      </c>
      <c r="IS9">
        <v>0</v>
      </c>
      <c r="IT9">
        <v>0</v>
      </c>
      <c r="IU9">
        <v>0</v>
      </c>
      <c r="IV9">
        <v>0</v>
      </c>
      <c r="IW9">
        <v>0</v>
      </c>
      <c r="IX9">
        <v>0</v>
      </c>
      <c r="IY9">
        <v>0</v>
      </c>
      <c r="IZ9">
        <v>0</v>
      </c>
      <c r="JA9">
        <v>0</v>
      </c>
      <c r="JB9">
        <v>0</v>
      </c>
      <c r="JC9">
        <f t="shared" si="0"/>
        <v>5</v>
      </c>
    </row>
    <row r="10" spans="1:263" x14ac:dyDescent="0.3">
      <c r="A10" t="s">
        <v>1461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0.33613365810939899</v>
      </c>
      <c r="CF10">
        <v>0.99854087005951897</v>
      </c>
      <c r="CG10">
        <v>883.60104294885502</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0.32336178559538797</v>
      </c>
      <c r="HB10">
        <v>0.740988319325945</v>
      </c>
      <c r="HC10">
        <v>12664.513404031801</v>
      </c>
      <c r="HD10">
        <v>0</v>
      </c>
      <c r="HE10">
        <v>0</v>
      </c>
      <c r="HF10">
        <v>0</v>
      </c>
      <c r="HG10">
        <v>0</v>
      </c>
      <c r="HH10">
        <v>0</v>
      </c>
      <c r="HI10">
        <v>0</v>
      </c>
      <c r="HJ10">
        <v>0.35327704322735498</v>
      </c>
      <c r="HK10">
        <v>0.99869825869742801</v>
      </c>
      <c r="HL10">
        <v>9076.1811297082295</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f t="shared" si="0"/>
        <v>3</v>
      </c>
    </row>
    <row r="11" spans="1:263" x14ac:dyDescent="0.3">
      <c r="A11" t="s">
        <v>1827</v>
      </c>
      <c r="B11">
        <v>0</v>
      </c>
      <c r="C11">
        <v>0</v>
      </c>
      <c r="D11">
        <v>0</v>
      </c>
      <c r="E11">
        <v>0.396129545296312</v>
      </c>
      <c r="F11">
        <v>0.99464709247741101</v>
      </c>
      <c r="G11">
        <v>7828.6250701754598</v>
      </c>
      <c r="H11">
        <v>0</v>
      </c>
      <c r="I11">
        <v>0</v>
      </c>
      <c r="J11">
        <v>0</v>
      </c>
      <c r="K11">
        <v>0</v>
      </c>
      <c r="L11">
        <v>0</v>
      </c>
      <c r="M11">
        <v>0</v>
      </c>
      <c r="N11">
        <v>0.51769958585541498</v>
      </c>
      <c r="O11">
        <v>0.963652533040259</v>
      </c>
      <c r="P11">
        <v>2108.1962345194402</v>
      </c>
      <c r="Q11">
        <v>0.39796569074535798</v>
      </c>
      <c r="R11">
        <v>0.99424905734291602</v>
      </c>
      <c r="S11">
        <v>7245.0697183462298</v>
      </c>
      <c r="T11">
        <v>0.380296540163507</v>
      </c>
      <c r="U11">
        <v>0.99226883429942203</v>
      </c>
      <c r="V11">
        <v>6594.0468519135502</v>
      </c>
      <c r="W11">
        <v>0</v>
      </c>
      <c r="X11">
        <v>0</v>
      </c>
      <c r="Y11">
        <v>0</v>
      </c>
      <c r="Z11">
        <v>0</v>
      </c>
      <c r="AA11">
        <v>0</v>
      </c>
      <c r="AB11">
        <v>0</v>
      </c>
      <c r="AC11">
        <v>0</v>
      </c>
      <c r="AD11">
        <v>0</v>
      </c>
      <c r="AE11">
        <v>0</v>
      </c>
      <c r="AF11">
        <v>0</v>
      </c>
      <c r="AG11">
        <v>0</v>
      </c>
      <c r="AH11">
        <v>0</v>
      </c>
      <c r="AI11">
        <v>0.36197142702568602</v>
      </c>
      <c r="AJ11">
        <v>0.98846460361442701</v>
      </c>
      <c r="AK11">
        <v>7318.0843890362803</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0.44292026774405202</v>
      </c>
      <c r="BN11">
        <v>0.98456317728129294</v>
      </c>
      <c r="BO11">
        <v>4413.2329837036696</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0.45185020463495101</v>
      </c>
      <c r="HN11">
        <v>0.97754100472066496</v>
      </c>
      <c r="HO11">
        <v>6091.9014194754</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P11">
        <v>0</v>
      </c>
      <c r="IQ11">
        <v>0</v>
      </c>
      <c r="IR11">
        <v>0</v>
      </c>
      <c r="IS11">
        <v>0</v>
      </c>
      <c r="IT11">
        <v>0</v>
      </c>
      <c r="IU11">
        <v>0</v>
      </c>
      <c r="IV11">
        <v>0</v>
      </c>
      <c r="IW11">
        <v>0</v>
      </c>
      <c r="IX11">
        <v>0</v>
      </c>
      <c r="IY11">
        <v>0</v>
      </c>
      <c r="IZ11">
        <v>0</v>
      </c>
      <c r="JA11">
        <v>0</v>
      </c>
      <c r="JB11">
        <v>0</v>
      </c>
      <c r="JC11">
        <f t="shared" si="0"/>
        <v>7</v>
      </c>
    </row>
    <row r="12" spans="1:263" x14ac:dyDescent="0.3">
      <c r="A12" t="s">
        <v>1828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0.404791183844043</v>
      </c>
      <c r="AA12">
        <v>0.949574429059449</v>
      </c>
      <c r="AB12">
        <v>5076.8871304413196</v>
      </c>
      <c r="AC12">
        <v>0</v>
      </c>
      <c r="AD12">
        <v>0</v>
      </c>
      <c r="AE12">
        <v>0</v>
      </c>
      <c r="AF12">
        <v>0.24233076985879901</v>
      </c>
      <c r="AG12">
        <v>0.76750171342268503</v>
      </c>
      <c r="AH12">
        <v>142.021383957495</v>
      </c>
      <c r="AI12">
        <v>0</v>
      </c>
      <c r="AJ12">
        <v>0</v>
      </c>
      <c r="AK12">
        <v>0</v>
      </c>
      <c r="AL12">
        <v>0</v>
      </c>
      <c r="AM12">
        <v>0</v>
      </c>
      <c r="AN12">
        <v>0</v>
      </c>
      <c r="AO12">
        <v>0.88265155650745897</v>
      </c>
      <c r="AP12">
        <v>0.99967327098768199</v>
      </c>
      <c r="AQ12">
        <v>108.736113452487</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0.31922550263056898</v>
      </c>
      <c r="BQ12">
        <v>0.99233764315419504</v>
      </c>
      <c r="BR12">
        <v>55.328248238665303</v>
      </c>
      <c r="BS12">
        <v>0</v>
      </c>
      <c r="BT12">
        <v>0</v>
      </c>
      <c r="BU12">
        <v>0</v>
      </c>
      <c r="BV12">
        <v>0.12832019751978199</v>
      </c>
      <c r="BW12">
        <v>0.57677063305346199</v>
      </c>
      <c r="BX12">
        <v>17.975097047441899</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0.51120057103610195</v>
      </c>
      <c r="DD12">
        <v>0.91603415310818903</v>
      </c>
      <c r="DE12">
        <v>239.172817469547</v>
      </c>
      <c r="DF12">
        <v>0.51155009952168995</v>
      </c>
      <c r="DG12">
        <v>0.91612018287482</v>
      </c>
      <c r="DH12">
        <v>239.078384669136</v>
      </c>
      <c r="DI12">
        <v>0.40480268690364002</v>
      </c>
      <c r="DJ12">
        <v>0.92480004180762299</v>
      </c>
      <c r="DK12">
        <v>2518.65576078098</v>
      </c>
      <c r="DL12">
        <v>0</v>
      </c>
      <c r="DM12">
        <v>0</v>
      </c>
      <c r="DN12">
        <v>0</v>
      </c>
      <c r="DO12">
        <v>0</v>
      </c>
      <c r="DP12">
        <v>0</v>
      </c>
      <c r="DQ12">
        <v>0</v>
      </c>
      <c r="DR12">
        <v>0</v>
      </c>
      <c r="DS12">
        <v>0</v>
      </c>
      <c r="DT12">
        <v>0</v>
      </c>
      <c r="DU12">
        <v>0</v>
      </c>
      <c r="DV12">
        <v>0</v>
      </c>
      <c r="DW12">
        <v>0</v>
      </c>
      <c r="DX12">
        <v>0.28538731466680001</v>
      </c>
      <c r="DY12">
        <v>0.87654051190363702</v>
      </c>
      <c r="DZ12">
        <v>1004.26582638607</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0.36292276194681999</v>
      </c>
      <c r="FF12">
        <v>0.71738494401998498</v>
      </c>
      <c r="FG12">
        <v>9662.5880351147498</v>
      </c>
      <c r="FH12">
        <v>0</v>
      </c>
      <c r="FI12">
        <v>0</v>
      </c>
      <c r="FJ12">
        <v>0</v>
      </c>
      <c r="FK12">
        <v>0.37167381652888898</v>
      </c>
      <c r="FL12">
        <v>0.72634419868241196</v>
      </c>
      <c r="FM12">
        <v>10421.1793447254</v>
      </c>
      <c r="FN12">
        <v>0.35983421621969902</v>
      </c>
      <c r="FO12">
        <v>0.72744307337265701</v>
      </c>
      <c r="FP12">
        <v>5326.9599675461104</v>
      </c>
      <c r="FQ12">
        <v>0.44234597868261499</v>
      </c>
      <c r="FR12">
        <v>0.89305820907605105</v>
      </c>
      <c r="FS12">
        <v>1771.57783352499</v>
      </c>
      <c r="FT12">
        <v>0.43193875494057699</v>
      </c>
      <c r="FU12">
        <v>0.94591435300799698</v>
      </c>
      <c r="FV12">
        <v>663.84731963834997</v>
      </c>
      <c r="FW12">
        <v>0</v>
      </c>
      <c r="FX12">
        <v>0</v>
      </c>
      <c r="FY12">
        <v>0</v>
      </c>
      <c r="FZ12">
        <v>0</v>
      </c>
      <c r="GA12">
        <v>0</v>
      </c>
      <c r="GB12">
        <v>0</v>
      </c>
      <c r="GC12">
        <v>0.56576358617744305</v>
      </c>
      <c r="GD12">
        <v>0.95687789512541299</v>
      </c>
      <c r="GE12">
        <v>190.2671255873</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0.40375632204830603</v>
      </c>
      <c r="HB12">
        <v>0.96639432212203402</v>
      </c>
      <c r="HC12">
        <v>3443.8110813407998</v>
      </c>
      <c r="HD12">
        <v>0.12832045643006501</v>
      </c>
      <c r="HE12">
        <v>0.57641108359562498</v>
      </c>
      <c r="HF12">
        <v>17.979065470386399</v>
      </c>
      <c r="HG12">
        <v>0</v>
      </c>
      <c r="HH12">
        <v>0</v>
      </c>
      <c r="HI12">
        <v>0</v>
      </c>
      <c r="HJ12">
        <v>0</v>
      </c>
      <c r="HK12">
        <v>0</v>
      </c>
      <c r="HL12">
        <v>0</v>
      </c>
      <c r="HM12">
        <v>0</v>
      </c>
      <c r="HN12">
        <v>0</v>
      </c>
      <c r="HO12">
        <v>0</v>
      </c>
      <c r="HP12">
        <v>0.36993996356301601</v>
      </c>
      <c r="HQ12">
        <v>0.75541891938192596</v>
      </c>
      <c r="HR12">
        <v>15729.897963919801</v>
      </c>
      <c r="HS12">
        <v>0.37884645317573801</v>
      </c>
      <c r="HT12">
        <v>0.83734771629475702</v>
      </c>
      <c r="HU12">
        <v>7162.6202331263403</v>
      </c>
      <c r="HV12">
        <v>0.44372600172425503</v>
      </c>
      <c r="HW12">
        <v>0.90643709700210995</v>
      </c>
      <c r="HX12">
        <v>1678.22566081027</v>
      </c>
      <c r="HY12">
        <v>0</v>
      </c>
      <c r="HZ12">
        <v>0</v>
      </c>
      <c r="IA12">
        <v>0</v>
      </c>
      <c r="IB12">
        <v>0</v>
      </c>
      <c r="IC12">
        <v>0</v>
      </c>
      <c r="ID12">
        <v>0</v>
      </c>
      <c r="IE12">
        <v>0</v>
      </c>
      <c r="IF12">
        <v>0</v>
      </c>
      <c r="IG12">
        <v>0</v>
      </c>
      <c r="IH12">
        <v>0</v>
      </c>
      <c r="II12">
        <v>0</v>
      </c>
      <c r="IJ12">
        <v>0</v>
      </c>
      <c r="IK12">
        <v>0</v>
      </c>
      <c r="IL12">
        <v>0</v>
      </c>
      <c r="IM12">
        <v>0</v>
      </c>
      <c r="IN12">
        <v>0</v>
      </c>
      <c r="IO12">
        <v>0</v>
      </c>
      <c r="IP12">
        <v>0</v>
      </c>
      <c r="IQ12">
        <v>0</v>
      </c>
      <c r="IR12">
        <v>0</v>
      </c>
      <c r="IS12">
        <v>0</v>
      </c>
      <c r="IT12">
        <v>0</v>
      </c>
      <c r="IU12">
        <v>0</v>
      </c>
      <c r="IV12">
        <v>0</v>
      </c>
      <c r="IW12">
        <v>0</v>
      </c>
      <c r="IX12">
        <v>0</v>
      </c>
      <c r="IY12">
        <v>0</v>
      </c>
      <c r="IZ12">
        <v>0</v>
      </c>
      <c r="JA12">
        <v>0</v>
      </c>
      <c r="JB12">
        <v>0</v>
      </c>
      <c r="JC12">
        <f t="shared" si="0"/>
        <v>20</v>
      </c>
    </row>
    <row r="13" spans="1:263" x14ac:dyDescent="0.3">
      <c r="A13" t="s">
        <v>1373</v>
      </c>
      <c r="B13">
        <v>0.10300024552743001</v>
      </c>
      <c r="C13">
        <v>0.19219144405770899</v>
      </c>
      <c r="D13">
        <v>1.20157395580117</v>
      </c>
      <c r="E13">
        <v>0</v>
      </c>
      <c r="F13">
        <v>0</v>
      </c>
      <c r="G13">
        <v>0</v>
      </c>
      <c r="H13">
        <v>0.34137484083507302</v>
      </c>
      <c r="I13">
        <v>0.75161787234785604</v>
      </c>
      <c r="J13">
        <v>587.50178044507004</v>
      </c>
      <c r="K13">
        <v>0.33882017932507402</v>
      </c>
      <c r="L13">
        <v>0.75366771720674797</v>
      </c>
      <c r="M13">
        <v>664.628426817633</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0.34502326060494798</v>
      </c>
      <c r="HK13">
        <v>0.715959316286918</v>
      </c>
      <c r="HL13">
        <v>1352.9070822312101</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c r="IV13">
        <v>0</v>
      </c>
      <c r="IW13">
        <v>0</v>
      </c>
      <c r="IX13">
        <v>0</v>
      </c>
      <c r="IY13">
        <v>0</v>
      </c>
      <c r="IZ13">
        <v>0</v>
      </c>
      <c r="JA13">
        <v>0</v>
      </c>
      <c r="JB13">
        <v>0</v>
      </c>
      <c r="JC13">
        <f t="shared" si="0"/>
        <v>4</v>
      </c>
    </row>
    <row r="14" spans="1:263" x14ac:dyDescent="0.3">
      <c r="A14" t="s">
        <v>1530</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0.50700555156615501</v>
      </c>
      <c r="GV14">
        <v>0.94428256042752701</v>
      </c>
      <c r="GW14">
        <v>7423.4632726516902</v>
      </c>
      <c r="GX14">
        <v>0</v>
      </c>
      <c r="GY14">
        <v>0</v>
      </c>
      <c r="GZ14">
        <v>0</v>
      </c>
      <c r="HA14">
        <v>0</v>
      </c>
      <c r="HB14">
        <v>0</v>
      </c>
      <c r="HC14">
        <v>0</v>
      </c>
      <c r="HD14">
        <v>0.44182245090688999</v>
      </c>
      <c r="HE14">
        <v>0.78448140799999799</v>
      </c>
      <c r="HF14">
        <v>11681.264511703401</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P14">
        <v>0</v>
      </c>
      <c r="IQ14">
        <v>0</v>
      </c>
      <c r="IR14">
        <v>0</v>
      </c>
      <c r="IS14">
        <v>0</v>
      </c>
      <c r="IT14">
        <v>0</v>
      </c>
      <c r="IU14">
        <v>0</v>
      </c>
      <c r="IV14">
        <v>0</v>
      </c>
      <c r="IW14">
        <v>0</v>
      </c>
      <c r="IX14">
        <v>0</v>
      </c>
      <c r="IY14">
        <v>0</v>
      </c>
      <c r="IZ14">
        <v>0</v>
      </c>
      <c r="JA14">
        <v>0</v>
      </c>
      <c r="JB14">
        <v>0</v>
      </c>
      <c r="JC14">
        <f t="shared" si="0"/>
        <v>2</v>
      </c>
    </row>
    <row r="15" spans="1:263" x14ac:dyDescent="0.3">
      <c r="A15" t="s">
        <v>1829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0.38201356803498299</v>
      </c>
      <c r="CI15">
        <v>0.85416016727341404</v>
      </c>
      <c r="CJ15">
        <v>522.90980201896002</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0</v>
      </c>
      <c r="IL15">
        <v>0</v>
      </c>
      <c r="IM15">
        <v>0</v>
      </c>
      <c r="IN15">
        <v>0</v>
      </c>
      <c r="IO15">
        <v>0</v>
      </c>
      <c r="IP15">
        <v>0</v>
      </c>
      <c r="IQ15">
        <v>0</v>
      </c>
      <c r="IR15">
        <v>0</v>
      </c>
      <c r="IS15">
        <v>0</v>
      </c>
      <c r="IT15">
        <v>0</v>
      </c>
      <c r="IU15">
        <v>0</v>
      </c>
      <c r="IV15">
        <v>0</v>
      </c>
      <c r="IW15">
        <v>0</v>
      </c>
      <c r="IX15">
        <v>0</v>
      </c>
      <c r="IY15">
        <v>0</v>
      </c>
      <c r="IZ15">
        <v>0</v>
      </c>
      <c r="JA15">
        <v>0</v>
      </c>
      <c r="JB15">
        <v>0</v>
      </c>
      <c r="JC15">
        <f t="shared" si="0"/>
        <v>1</v>
      </c>
    </row>
    <row r="16" spans="1:263" x14ac:dyDescent="0.3">
      <c r="A16" t="s">
        <v>1830</v>
      </c>
      <c r="B16">
        <v>0.33249718350007601</v>
      </c>
      <c r="C16">
        <v>0.67744087043481505</v>
      </c>
      <c r="D16">
        <v>406.959537904174</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P16">
        <v>0</v>
      </c>
      <c r="IQ16">
        <v>0</v>
      </c>
      <c r="IR16">
        <v>0</v>
      </c>
      <c r="IS16">
        <v>0</v>
      </c>
      <c r="IT16">
        <v>0</v>
      </c>
      <c r="IU16">
        <v>0</v>
      </c>
      <c r="IV16">
        <v>0</v>
      </c>
      <c r="IW16">
        <v>0</v>
      </c>
      <c r="IX16">
        <v>0</v>
      </c>
      <c r="IY16">
        <v>0</v>
      </c>
      <c r="IZ16">
        <v>0</v>
      </c>
      <c r="JA16">
        <v>0</v>
      </c>
      <c r="JB16">
        <v>0</v>
      </c>
      <c r="JC16">
        <f t="shared" si="0"/>
        <v>1</v>
      </c>
    </row>
    <row r="17" spans="1:263" x14ac:dyDescent="0.3">
      <c r="A17" t="s">
        <v>1379</v>
      </c>
      <c r="B17">
        <v>0.37425775273658402</v>
      </c>
      <c r="C17">
        <v>0.87782586944116303</v>
      </c>
      <c r="D17">
        <v>7038.9862166882003</v>
      </c>
      <c r="E17">
        <v>0</v>
      </c>
      <c r="F17">
        <v>0</v>
      </c>
      <c r="G17">
        <v>0</v>
      </c>
      <c r="H17">
        <v>0.406413216772742</v>
      </c>
      <c r="I17">
        <v>0.92707013186370302</v>
      </c>
      <c r="J17">
        <v>6846.2534115601202</v>
      </c>
      <c r="K17">
        <v>0.39629139581752498</v>
      </c>
      <c r="L17">
        <v>0.94344642237461995</v>
      </c>
      <c r="M17">
        <v>6590.2576242797404</v>
      </c>
      <c r="N17">
        <v>0</v>
      </c>
      <c r="O17">
        <v>0</v>
      </c>
      <c r="P17">
        <v>0</v>
      </c>
      <c r="Q17">
        <v>0</v>
      </c>
      <c r="R17">
        <v>0</v>
      </c>
      <c r="S17">
        <v>0</v>
      </c>
      <c r="T17">
        <v>0</v>
      </c>
      <c r="U17">
        <v>0</v>
      </c>
      <c r="V17">
        <v>0</v>
      </c>
      <c r="W17">
        <v>0.46723123779798797</v>
      </c>
      <c r="X17">
        <v>0.98892127743940905</v>
      </c>
      <c r="Y17">
        <v>7925.4979675996801</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0.41905911805753299</v>
      </c>
      <c r="CR17">
        <v>0.97827370695767701</v>
      </c>
      <c r="CS17">
        <v>8418.1214238503308</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0.44437006679421298</v>
      </c>
      <c r="HE17">
        <v>0.977221455622728</v>
      </c>
      <c r="HF17">
        <v>18039.580022849801</v>
      </c>
      <c r="HG17">
        <v>0</v>
      </c>
      <c r="HH17">
        <v>0</v>
      </c>
      <c r="HI17">
        <v>0</v>
      </c>
      <c r="HJ17">
        <v>0.39765940714840797</v>
      </c>
      <c r="HK17">
        <v>0.90403737091488301</v>
      </c>
      <c r="HL17">
        <v>7534.4909434403799</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P17">
        <v>0</v>
      </c>
      <c r="IQ17">
        <v>0</v>
      </c>
      <c r="IR17">
        <v>0</v>
      </c>
      <c r="IS17">
        <v>0</v>
      </c>
      <c r="IT17">
        <v>0</v>
      </c>
      <c r="IU17">
        <v>0</v>
      </c>
      <c r="IV17">
        <v>0</v>
      </c>
      <c r="IW17">
        <v>0</v>
      </c>
      <c r="IX17">
        <v>0</v>
      </c>
      <c r="IY17">
        <v>0</v>
      </c>
      <c r="IZ17">
        <v>0</v>
      </c>
      <c r="JA17">
        <v>0</v>
      </c>
      <c r="JB17">
        <v>0</v>
      </c>
      <c r="JC17">
        <f t="shared" si="0"/>
        <v>7</v>
      </c>
    </row>
    <row r="18" spans="1:263" x14ac:dyDescent="0.3">
      <c r="A18" t="s">
        <v>1576</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0.35873696619565798</v>
      </c>
      <c r="DD18">
        <v>0.71301912976637505</v>
      </c>
      <c r="DE18">
        <v>3670.7351568388499</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0</v>
      </c>
      <c r="IG18">
        <v>0</v>
      </c>
      <c r="IH18">
        <v>0</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f t="shared" si="0"/>
        <v>1</v>
      </c>
    </row>
    <row r="19" spans="1:263" x14ac:dyDescent="0.3">
      <c r="A19" t="s">
        <v>1831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0.568443415944623</v>
      </c>
      <c r="BN19">
        <v>0.97837529857888705</v>
      </c>
      <c r="BO19">
        <v>735.14551084387301</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0.56846244948576297</v>
      </c>
      <c r="HN19">
        <v>0.97837529857888705</v>
      </c>
      <c r="HO19">
        <v>735.17010120627901</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f t="shared" si="0"/>
        <v>2</v>
      </c>
    </row>
    <row r="20" spans="1:263" x14ac:dyDescent="0.3">
      <c r="A20" t="s">
        <v>1390</v>
      </c>
      <c r="B20">
        <v>0</v>
      </c>
      <c r="C20">
        <v>0</v>
      </c>
      <c r="D20">
        <v>0</v>
      </c>
      <c r="E20">
        <v>0</v>
      </c>
      <c r="F20">
        <v>0</v>
      </c>
      <c r="G20">
        <v>0</v>
      </c>
      <c r="H20">
        <v>0</v>
      </c>
      <c r="I20">
        <v>0</v>
      </c>
      <c r="J20">
        <v>0</v>
      </c>
      <c r="K20">
        <v>0</v>
      </c>
      <c r="L20">
        <v>0</v>
      </c>
      <c r="M20">
        <v>0</v>
      </c>
      <c r="N20">
        <v>0.53077260542486204</v>
      </c>
      <c r="O20">
        <v>0.97411221189181196</v>
      </c>
      <c r="P20">
        <v>5715.3684743746398</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0.475702267135521</v>
      </c>
      <c r="DV20">
        <v>0.99968746390199503</v>
      </c>
      <c r="DW20">
        <v>284.07495631595299</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0.53077260542486204</v>
      </c>
      <c r="HN20">
        <v>0.97411221189181196</v>
      </c>
      <c r="HO20">
        <v>5715.3684743746398</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0.43471274237679403</v>
      </c>
      <c r="IX20">
        <v>0.98200088723291801</v>
      </c>
      <c r="IY20">
        <v>7766.9616278451904</v>
      </c>
      <c r="IZ20">
        <v>0</v>
      </c>
      <c r="JA20">
        <v>0</v>
      </c>
      <c r="JB20">
        <v>0</v>
      </c>
      <c r="JC20">
        <f t="shared" si="0"/>
        <v>4</v>
      </c>
    </row>
    <row r="21" spans="1:263" x14ac:dyDescent="0.3">
      <c r="A21" t="s">
        <v>1398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0.38870231418226198</v>
      </c>
      <c r="BB21">
        <v>0.90786184060362696</v>
      </c>
      <c r="BC21">
        <v>788.52408266079306</v>
      </c>
      <c r="BD21">
        <v>0.35915312864730597</v>
      </c>
      <c r="BE21">
        <v>0.94018267619340501</v>
      </c>
      <c r="BF21">
        <v>1106.2415266768</v>
      </c>
      <c r="BG21">
        <v>0</v>
      </c>
      <c r="BH21">
        <v>0</v>
      </c>
      <c r="BI21">
        <v>0</v>
      </c>
      <c r="BJ21">
        <v>0</v>
      </c>
      <c r="BK21">
        <v>0</v>
      </c>
      <c r="BL21">
        <v>0</v>
      </c>
      <c r="BM21">
        <v>0.34387129034328001</v>
      </c>
      <c r="BN21">
        <v>0.94826434243792102</v>
      </c>
      <c r="BO21">
        <v>3419.71784566314</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0.32693375804902097</v>
      </c>
      <c r="EZ21">
        <v>0.95192780095743501</v>
      </c>
      <c r="FA21">
        <v>1262.5418702366901</v>
      </c>
      <c r="FB21">
        <v>0.24628014095980999</v>
      </c>
      <c r="FC21">
        <v>0.87669604407194501</v>
      </c>
      <c r="FD21">
        <v>71.678525407259201</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0.343869732056517</v>
      </c>
      <c r="HN21">
        <v>0.94826465085596501</v>
      </c>
      <c r="HO21">
        <v>3419.7238219712299</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f t="shared" si="0"/>
        <v>6</v>
      </c>
    </row>
    <row r="22" spans="1:263" x14ac:dyDescent="0.3">
      <c r="A22" t="s">
        <v>1401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0.36145981679991501</v>
      </c>
      <c r="BN22">
        <v>0.95206696985637396</v>
      </c>
      <c r="BO22">
        <v>2457.3400099681899</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0.36143769789976099</v>
      </c>
      <c r="HN22">
        <v>0.95205037408382498</v>
      </c>
      <c r="HO22">
        <v>2457.28521129604</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f t="shared" si="0"/>
        <v>2</v>
      </c>
    </row>
    <row r="23" spans="1:263" x14ac:dyDescent="0.3">
      <c r="A23" t="s">
        <v>1405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0.31004422473783799</v>
      </c>
      <c r="CL23">
        <v>0.96572647060404704</v>
      </c>
      <c r="CM23">
        <v>4449.9348549680499</v>
      </c>
      <c r="CN23">
        <v>0.34635520763069799</v>
      </c>
      <c r="CO23">
        <v>0.956695836638085</v>
      </c>
      <c r="CP23">
        <v>8018.0841546647398</v>
      </c>
      <c r="CQ23">
        <v>0.303772739060442</v>
      </c>
      <c r="CR23">
        <v>0.89209922354089599</v>
      </c>
      <c r="CS23">
        <v>3767.0452148668601</v>
      </c>
      <c r="CT23">
        <v>0.320942104466866</v>
      </c>
      <c r="CU23">
        <v>0.92812489392247499</v>
      </c>
      <c r="CV23">
        <v>1004.8978956058299</v>
      </c>
      <c r="CW23">
        <v>0.295159609559978</v>
      </c>
      <c r="CX23">
        <v>0.96747048418502102</v>
      </c>
      <c r="CY23">
        <v>6759.6916179057198</v>
      </c>
      <c r="CZ23">
        <v>0.28979922122186902</v>
      </c>
      <c r="DA23">
        <v>0.92930422117217404</v>
      </c>
      <c r="DB23">
        <v>2706.0774362874699</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0.49111128673437399</v>
      </c>
      <c r="FF23">
        <v>0.98844924683273006</v>
      </c>
      <c r="FG23">
        <v>12374.2624723678</v>
      </c>
      <c r="FH23">
        <v>0.511057790549174</v>
      </c>
      <c r="FI23">
        <v>0.98845021014814105</v>
      </c>
      <c r="FJ23">
        <v>15779.885703985699</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0.40041765320598299</v>
      </c>
      <c r="GJ23">
        <v>0.98919214412077905</v>
      </c>
      <c r="GK23">
        <v>5349.8998396540701</v>
      </c>
      <c r="GL23">
        <v>0.496491736662935</v>
      </c>
      <c r="GM23">
        <v>0.98412749381055098</v>
      </c>
      <c r="GN23">
        <v>1924.6824478123301</v>
      </c>
      <c r="GO23">
        <v>0.53808216478744497</v>
      </c>
      <c r="GP23">
        <v>0.99391287666544603</v>
      </c>
      <c r="GQ23">
        <v>3827.5752319017301</v>
      </c>
      <c r="GR23">
        <v>0.435996619760952</v>
      </c>
      <c r="GS23">
        <v>0.97213568645277204</v>
      </c>
      <c r="GT23">
        <v>9965.2825159482909</v>
      </c>
      <c r="GU23">
        <v>0</v>
      </c>
      <c r="GV23">
        <v>0</v>
      </c>
      <c r="GW23">
        <v>0</v>
      </c>
      <c r="GX23">
        <v>0</v>
      </c>
      <c r="GY23">
        <v>0</v>
      </c>
      <c r="GZ23">
        <v>0</v>
      </c>
      <c r="HA23">
        <v>0</v>
      </c>
      <c r="HB23">
        <v>0</v>
      </c>
      <c r="HC23">
        <v>0</v>
      </c>
      <c r="HD23">
        <v>0.39964507942619498</v>
      </c>
      <c r="HE23">
        <v>0.93034193108352603</v>
      </c>
      <c r="HF23">
        <v>9433.75314416525</v>
      </c>
      <c r="HG23">
        <v>0</v>
      </c>
      <c r="HH23">
        <v>0</v>
      </c>
      <c r="HI23">
        <v>0</v>
      </c>
      <c r="HJ23">
        <v>0</v>
      </c>
      <c r="HK23">
        <v>0</v>
      </c>
      <c r="HL23">
        <v>0</v>
      </c>
      <c r="HM23">
        <v>0</v>
      </c>
      <c r="HN23">
        <v>0</v>
      </c>
      <c r="HO23">
        <v>0</v>
      </c>
      <c r="HP23">
        <v>0.49129808143432901</v>
      </c>
      <c r="HQ23">
        <v>0.98844274908458096</v>
      </c>
      <c r="HR23">
        <v>12387.631338167101</v>
      </c>
      <c r="HS23">
        <v>0</v>
      </c>
      <c r="HT23">
        <v>0</v>
      </c>
      <c r="HU23">
        <v>0</v>
      </c>
      <c r="HV23">
        <v>0</v>
      </c>
      <c r="HW23">
        <v>0</v>
      </c>
      <c r="HX23">
        <v>0</v>
      </c>
      <c r="HY23">
        <v>0</v>
      </c>
      <c r="HZ23">
        <v>0</v>
      </c>
      <c r="IA23">
        <v>0</v>
      </c>
      <c r="IB23">
        <v>0</v>
      </c>
      <c r="IC23">
        <v>0</v>
      </c>
      <c r="ID23">
        <v>0</v>
      </c>
      <c r="IE23">
        <v>0.20593615323835501</v>
      </c>
      <c r="IF23">
        <v>1</v>
      </c>
      <c r="IG23">
        <v>0.46628332270100098</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f t="shared" si="0"/>
        <v>15</v>
      </c>
    </row>
    <row r="24" spans="1:263" x14ac:dyDescent="0.3">
      <c r="A24" t="s">
        <v>1832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0.554986218504538</v>
      </c>
      <c r="EH24">
        <v>0.99945558591752304</v>
      </c>
      <c r="EI24">
        <v>1144.80815651596</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f t="shared" si="0"/>
        <v>1</v>
      </c>
    </row>
    <row r="25" spans="1:263" x14ac:dyDescent="0.3">
      <c r="A25" t="s">
        <v>1418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0.36052055636460001</v>
      </c>
      <c r="BN25">
        <v>0.85869231706670701</v>
      </c>
      <c r="BO25">
        <v>5891.9849484773003</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0.33360611221222403</v>
      </c>
      <c r="FC25">
        <v>0.95747080931468898</v>
      </c>
      <c r="FD25">
        <v>2264.63301514974</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0.36052055636460001</v>
      </c>
      <c r="HN25">
        <v>0.85869231706670701</v>
      </c>
      <c r="HO25">
        <v>5891.9849484773003</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f t="shared" si="0"/>
        <v>3</v>
      </c>
    </row>
    <row r="26" spans="1:263" x14ac:dyDescent="0.3">
      <c r="A26" t="s">
        <v>1420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0.445988769597368</v>
      </c>
      <c r="GV26">
        <v>0.90928815540844199</v>
      </c>
      <c r="GW26">
        <v>14773.231811698501</v>
      </c>
      <c r="GX26">
        <v>0</v>
      </c>
      <c r="GY26">
        <v>0</v>
      </c>
      <c r="GZ26">
        <v>0</v>
      </c>
      <c r="HA26">
        <v>0.38688393182327202</v>
      </c>
      <c r="HB26">
        <v>0.69593484923426097</v>
      </c>
      <c r="HC26">
        <v>11296.924632243799</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0.67166968820933204</v>
      </c>
      <c r="IO26">
        <v>0.95110601834405695</v>
      </c>
      <c r="IP26">
        <v>2180.5211587940598</v>
      </c>
      <c r="IQ26">
        <v>0</v>
      </c>
      <c r="IR26">
        <v>0</v>
      </c>
      <c r="IS26">
        <v>0</v>
      </c>
      <c r="IT26">
        <v>0</v>
      </c>
      <c r="IU26">
        <v>0</v>
      </c>
      <c r="IV26">
        <v>0</v>
      </c>
      <c r="IW26">
        <v>0</v>
      </c>
      <c r="IX26">
        <v>0</v>
      </c>
      <c r="IY26">
        <v>0</v>
      </c>
      <c r="IZ26">
        <v>0</v>
      </c>
      <c r="JA26">
        <v>0</v>
      </c>
      <c r="JB26">
        <v>0</v>
      </c>
      <c r="JC26">
        <f t="shared" si="0"/>
        <v>3</v>
      </c>
    </row>
    <row r="27" spans="1:263" x14ac:dyDescent="0.3">
      <c r="A27" t="s">
        <v>1436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0.331184998077586</v>
      </c>
      <c r="EN27">
        <v>0.87739272785265598</v>
      </c>
      <c r="EO27">
        <v>0.74481611940326897</v>
      </c>
      <c r="EP27">
        <v>0.50877354407505404</v>
      </c>
      <c r="EQ27">
        <v>0.98294769561784201</v>
      </c>
      <c r="ER27">
        <v>5305.08386099172</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0.48334722039558098</v>
      </c>
      <c r="JA27">
        <v>0.99225041523204605</v>
      </c>
      <c r="JB27">
        <v>6390.0440197794796</v>
      </c>
      <c r="JC27">
        <f t="shared" si="0"/>
        <v>3</v>
      </c>
    </row>
    <row r="28" spans="1:263" x14ac:dyDescent="0.3">
      <c r="A28" t="s">
        <v>1833</v>
      </c>
      <c r="B28">
        <v>0</v>
      </c>
      <c r="C28">
        <v>0</v>
      </c>
      <c r="D28">
        <v>0</v>
      </c>
      <c r="E28">
        <v>0.39409489885001098</v>
      </c>
      <c r="F28">
        <v>0.99916161475958898</v>
      </c>
      <c r="G28">
        <v>5380.2986072261301</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0.40140092683060302</v>
      </c>
      <c r="AJ28">
        <v>0.99967204240582797</v>
      </c>
      <c r="AK28">
        <v>3732.4820516728601</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0.34197822601230099</v>
      </c>
      <c r="BT28">
        <v>0.97343576166345702</v>
      </c>
      <c r="BU28">
        <v>5387.3258809928802</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0.40318502558100799</v>
      </c>
      <c r="HH28">
        <v>0.99690757381471296</v>
      </c>
      <c r="HI28">
        <v>13574.091861416</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f t="shared" si="0"/>
        <v>4</v>
      </c>
    </row>
    <row r="29" spans="1:263" x14ac:dyDescent="0.3">
      <c r="A29" t="s">
        <v>1433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0.34873972639541201</v>
      </c>
      <c r="GV29">
        <v>0.754593078572246</v>
      </c>
      <c r="GW29">
        <v>4144.3781147960099</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f t="shared" si="0"/>
        <v>1</v>
      </c>
    </row>
    <row r="30" spans="1:263" x14ac:dyDescent="0.3">
      <c r="A30" t="s">
        <v>1425</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0.46571732293761597</v>
      </c>
      <c r="GV30">
        <v>0.91945225964621002</v>
      </c>
      <c r="GW30">
        <v>17607.9692680033</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0.46956008231931301</v>
      </c>
      <c r="IO30">
        <v>0.96735477584896101</v>
      </c>
      <c r="IP30">
        <v>6398.7558829749996</v>
      </c>
      <c r="IQ30">
        <v>0</v>
      </c>
      <c r="IR30">
        <v>0</v>
      </c>
      <c r="IS30">
        <v>0</v>
      </c>
      <c r="IT30">
        <v>0</v>
      </c>
      <c r="IU30">
        <v>0</v>
      </c>
      <c r="IV30">
        <v>0</v>
      </c>
      <c r="IW30">
        <v>0</v>
      </c>
      <c r="IX30">
        <v>0</v>
      </c>
      <c r="IY30">
        <v>0</v>
      </c>
      <c r="IZ30">
        <v>0</v>
      </c>
      <c r="JA30">
        <v>0</v>
      </c>
      <c r="JB30">
        <v>0</v>
      </c>
      <c r="JC30">
        <f t="shared" si="0"/>
        <v>2</v>
      </c>
    </row>
    <row r="31" spans="1:263" x14ac:dyDescent="0.3">
      <c r="A31" t="s">
        <v>1538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0.40056754953029799</v>
      </c>
      <c r="AD31">
        <v>0.965574089754069</v>
      </c>
      <c r="AE31">
        <v>2863.5418707221902</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0.35984229193254602</v>
      </c>
      <c r="DM31">
        <v>0.80324581656858496</v>
      </c>
      <c r="DN31">
        <v>5801.5443883356602</v>
      </c>
      <c r="DO31">
        <v>0</v>
      </c>
      <c r="DP31">
        <v>0</v>
      </c>
      <c r="DQ31">
        <v>0</v>
      </c>
      <c r="DR31">
        <v>0.37781097593364499</v>
      </c>
      <c r="DS31">
        <v>0.88054733027871601</v>
      </c>
      <c r="DT31">
        <v>4866.4738452375004</v>
      </c>
      <c r="DU31">
        <v>0</v>
      </c>
      <c r="DV31">
        <v>0</v>
      </c>
      <c r="DW31">
        <v>0</v>
      </c>
      <c r="DX31">
        <v>0</v>
      </c>
      <c r="DY31">
        <v>0</v>
      </c>
      <c r="DZ31">
        <v>0</v>
      </c>
      <c r="EA31">
        <v>0.48479401627486102</v>
      </c>
      <c r="EB31">
        <v>0.969321313351035</v>
      </c>
      <c r="EC31">
        <v>1090.9258082659101</v>
      </c>
      <c r="ED31">
        <v>0.478424612982981</v>
      </c>
      <c r="EE31">
        <v>0.975063674302871</v>
      </c>
      <c r="EF31">
        <v>1075.63300463716</v>
      </c>
      <c r="EG31">
        <v>0</v>
      </c>
      <c r="EH31">
        <v>0</v>
      </c>
      <c r="EI31">
        <v>0</v>
      </c>
      <c r="EJ31">
        <v>0</v>
      </c>
      <c r="EK31">
        <v>0</v>
      </c>
      <c r="EL31">
        <v>0</v>
      </c>
      <c r="EM31">
        <v>0</v>
      </c>
      <c r="EN31">
        <v>0</v>
      </c>
      <c r="EO31">
        <v>0</v>
      </c>
      <c r="EP31">
        <v>0.37973776659846797</v>
      </c>
      <c r="EQ31">
        <v>0.90232246141073302</v>
      </c>
      <c r="ER31">
        <v>7096.7778771598396</v>
      </c>
      <c r="ES31">
        <v>0.38089635182992798</v>
      </c>
      <c r="ET31">
        <v>0.903643800794381</v>
      </c>
      <c r="EU31">
        <v>7427.8704572386296</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0.39706295171632899</v>
      </c>
      <c r="HT31">
        <v>0.97042612735382805</v>
      </c>
      <c r="HU31">
        <v>2718.5980575269</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0</v>
      </c>
      <c r="IX31">
        <v>0</v>
      </c>
      <c r="IY31">
        <v>0</v>
      </c>
      <c r="IZ31">
        <v>0.336262886390786</v>
      </c>
      <c r="JA31">
        <v>0.87321740128160197</v>
      </c>
      <c r="JB31">
        <v>4928.0475362814695</v>
      </c>
      <c r="JC31">
        <f t="shared" si="0"/>
        <v>9</v>
      </c>
    </row>
    <row r="32" spans="1:263" x14ac:dyDescent="0.3">
      <c r="A32" t="s">
        <v>1438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0.31007470245213498</v>
      </c>
      <c r="EW32">
        <v>0.84014457803147302</v>
      </c>
      <c r="EX32">
        <v>1285.6886234557801</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0.21263739604420201</v>
      </c>
      <c r="FU32">
        <v>0.66995453884336398</v>
      </c>
      <c r="FV32">
        <v>12.4105751079748</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0.320063467579007</v>
      </c>
      <c r="HB32">
        <v>0.79929420920836303</v>
      </c>
      <c r="HC32">
        <v>11498.1580648005</v>
      </c>
      <c r="HD32">
        <v>0</v>
      </c>
      <c r="HE32">
        <v>0</v>
      </c>
      <c r="HF32">
        <v>0</v>
      </c>
      <c r="HG32">
        <v>0</v>
      </c>
      <c r="HH32">
        <v>0</v>
      </c>
      <c r="HI32">
        <v>0</v>
      </c>
      <c r="HJ32">
        <v>0</v>
      </c>
      <c r="HK32">
        <v>0</v>
      </c>
      <c r="HL32">
        <v>0</v>
      </c>
      <c r="HM32">
        <v>0</v>
      </c>
      <c r="HN32">
        <v>0</v>
      </c>
      <c r="HO32">
        <v>0</v>
      </c>
      <c r="HP32">
        <v>0</v>
      </c>
      <c r="HQ32">
        <v>0</v>
      </c>
      <c r="HR32">
        <v>0</v>
      </c>
      <c r="HS32">
        <v>0</v>
      </c>
      <c r="HT32">
        <v>0</v>
      </c>
      <c r="HU32">
        <v>0</v>
      </c>
      <c r="HV32">
        <v>0.32259148758805201</v>
      </c>
      <c r="HW32">
        <v>0.78900361023705001</v>
      </c>
      <c r="HX32">
        <v>10952.901360662399</v>
      </c>
      <c r="HY32">
        <v>0.33812561939843799</v>
      </c>
      <c r="HZ32">
        <v>0.80676811058011699</v>
      </c>
      <c r="IA32">
        <v>7076.5025107849597</v>
      </c>
      <c r="IB32">
        <v>0.33571235258597198</v>
      </c>
      <c r="IC32">
        <v>0.80289344487026904</v>
      </c>
      <c r="ID32">
        <v>7032.3990472021096</v>
      </c>
      <c r="IE32">
        <v>0</v>
      </c>
      <c r="IF32">
        <v>0</v>
      </c>
      <c r="IG32">
        <v>0</v>
      </c>
      <c r="IH32">
        <v>0.31674945320987002</v>
      </c>
      <c r="II32">
        <v>0.75320027536405498</v>
      </c>
      <c r="IJ32">
        <v>4949.5610520939599</v>
      </c>
      <c r="IK32">
        <v>0.32153437351077302</v>
      </c>
      <c r="IL32">
        <v>0.74924647781520404</v>
      </c>
      <c r="IM32">
        <v>4414.48435274863</v>
      </c>
      <c r="IN32">
        <v>0</v>
      </c>
      <c r="IO32">
        <v>0</v>
      </c>
      <c r="IP32">
        <v>0</v>
      </c>
      <c r="IQ32">
        <v>0.300938865116266</v>
      </c>
      <c r="IR32">
        <v>0.79696361787874903</v>
      </c>
      <c r="IS32">
        <v>5889.1455420894499</v>
      </c>
      <c r="IT32">
        <v>0.301459076994471</v>
      </c>
      <c r="IU32">
        <v>0.79665745623645501</v>
      </c>
      <c r="IV32">
        <v>6022.1266940396799</v>
      </c>
      <c r="IW32">
        <v>0</v>
      </c>
      <c r="IX32">
        <v>0</v>
      </c>
      <c r="IY32">
        <v>0</v>
      </c>
      <c r="IZ32">
        <v>0</v>
      </c>
      <c r="JA32">
        <v>0</v>
      </c>
      <c r="JB32">
        <v>0</v>
      </c>
      <c r="JC32">
        <f t="shared" si="0"/>
        <v>10</v>
      </c>
    </row>
    <row r="33" spans="1:263" x14ac:dyDescent="0.3">
      <c r="A33" t="s">
        <v>1442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0.42692717846258199</v>
      </c>
      <c r="BH33">
        <v>0.99959833907682905</v>
      </c>
      <c r="BI33">
        <v>3507.7539212687102</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0.461365418130469</v>
      </c>
      <c r="DP33">
        <v>1</v>
      </c>
      <c r="DQ33">
        <v>264.14088073233</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0.32381872422958002</v>
      </c>
      <c r="GY33">
        <v>0.80668564673252396</v>
      </c>
      <c r="GZ33">
        <v>7107.0342241723201</v>
      </c>
      <c r="HA33">
        <v>0</v>
      </c>
      <c r="HB33">
        <v>0</v>
      </c>
      <c r="HC33">
        <v>0</v>
      </c>
      <c r="HD33">
        <v>0</v>
      </c>
      <c r="HE33">
        <v>0</v>
      </c>
      <c r="HF33">
        <v>0</v>
      </c>
      <c r="HG33">
        <v>0.39182158686716101</v>
      </c>
      <c r="HH33">
        <v>0.998889020289767</v>
      </c>
      <c r="HI33">
        <v>1294.3458598045299</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f t="shared" si="0"/>
        <v>4</v>
      </c>
    </row>
    <row r="34" spans="1:263" x14ac:dyDescent="0.3">
      <c r="A34" t="s">
        <v>1444</v>
      </c>
      <c r="B34">
        <v>0</v>
      </c>
      <c r="C34">
        <v>0</v>
      </c>
      <c r="D34">
        <v>0</v>
      </c>
      <c r="E34">
        <v>0</v>
      </c>
      <c r="F34">
        <v>0</v>
      </c>
      <c r="G34">
        <v>0</v>
      </c>
      <c r="H34">
        <v>0</v>
      </c>
      <c r="I34">
        <v>0</v>
      </c>
      <c r="J34">
        <v>0</v>
      </c>
      <c r="K34">
        <v>0</v>
      </c>
      <c r="L34">
        <v>0</v>
      </c>
      <c r="M34">
        <v>0</v>
      </c>
      <c r="N34">
        <v>0.62947462425282197</v>
      </c>
      <c r="O34">
        <v>0.99920092165463203</v>
      </c>
      <c r="P34">
        <v>979.71694798341503</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0.23005997630167099</v>
      </c>
      <c r="BH34">
        <v>0.96225048367114896</v>
      </c>
      <c r="BI34">
        <v>104.16119971049601</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0.50992956463141903</v>
      </c>
      <c r="DP34">
        <v>0.99932748279685302</v>
      </c>
      <c r="DQ34">
        <v>17497.552455956298</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0.49303280991641302</v>
      </c>
      <c r="GY34">
        <v>0.99884952589535803</v>
      </c>
      <c r="GZ34">
        <v>14149.118457977</v>
      </c>
      <c r="HA34">
        <v>0</v>
      </c>
      <c r="HB34">
        <v>0</v>
      </c>
      <c r="HC34">
        <v>0</v>
      </c>
      <c r="HD34">
        <v>0</v>
      </c>
      <c r="HE34">
        <v>0</v>
      </c>
      <c r="HF34">
        <v>0</v>
      </c>
      <c r="HG34">
        <v>0</v>
      </c>
      <c r="HH34">
        <v>0</v>
      </c>
      <c r="HI34">
        <v>0</v>
      </c>
      <c r="HJ34">
        <v>0</v>
      </c>
      <c r="HK34">
        <v>0</v>
      </c>
      <c r="HL34">
        <v>0</v>
      </c>
      <c r="HM34">
        <v>0.62947462425282197</v>
      </c>
      <c r="HN34">
        <v>0.99920092165463203</v>
      </c>
      <c r="HO34">
        <v>979.71694798341503</v>
      </c>
      <c r="HP34">
        <v>0.46172134703935502</v>
      </c>
      <c r="HQ34">
        <v>0.965898519738696</v>
      </c>
      <c r="HR34">
        <v>9825.21727653567</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P34">
        <v>0</v>
      </c>
      <c r="IQ34">
        <v>0</v>
      </c>
      <c r="IR34">
        <v>0</v>
      </c>
      <c r="IS34">
        <v>0</v>
      </c>
      <c r="IT34">
        <v>0</v>
      </c>
      <c r="IU34">
        <v>0</v>
      </c>
      <c r="IV34">
        <v>0</v>
      </c>
      <c r="IW34">
        <v>0</v>
      </c>
      <c r="IX34">
        <v>0</v>
      </c>
      <c r="IY34">
        <v>0</v>
      </c>
      <c r="IZ34">
        <v>0</v>
      </c>
      <c r="JA34">
        <v>0</v>
      </c>
      <c r="JB34">
        <v>0</v>
      </c>
      <c r="JC34">
        <f t="shared" si="0"/>
        <v>6</v>
      </c>
    </row>
    <row r="35" spans="1:263" x14ac:dyDescent="0.3">
      <c r="A35" t="s">
        <v>1834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0.38700431081068998</v>
      </c>
      <c r="AA35">
        <v>0.74940321659544995</v>
      </c>
      <c r="AB35">
        <v>44.807509652969699</v>
      </c>
      <c r="AC35">
        <v>0</v>
      </c>
      <c r="AD35">
        <v>0</v>
      </c>
      <c r="AE35">
        <v>0</v>
      </c>
      <c r="AF35">
        <v>0</v>
      </c>
      <c r="AG35">
        <v>0</v>
      </c>
      <c r="AH35">
        <v>0</v>
      </c>
      <c r="AI35">
        <v>0</v>
      </c>
      <c r="AJ35">
        <v>0</v>
      </c>
      <c r="AK35">
        <v>0</v>
      </c>
      <c r="AL35">
        <v>0</v>
      </c>
      <c r="AM35">
        <v>0</v>
      </c>
      <c r="AN35">
        <v>0</v>
      </c>
      <c r="AO35">
        <v>0.33835697841798201</v>
      </c>
      <c r="AP35">
        <v>0.73439953214218801</v>
      </c>
      <c r="AQ35">
        <v>7639.8493811140397</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0.326199375876562</v>
      </c>
      <c r="DD35">
        <v>0.85281137129859497</v>
      </c>
      <c r="DE35">
        <v>4339.6546080132903</v>
      </c>
      <c r="DF35">
        <v>0.35962398570327098</v>
      </c>
      <c r="DG35">
        <v>0.87999365224795101</v>
      </c>
      <c r="DH35">
        <v>3991.2807381223301</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0.60095706452070896</v>
      </c>
      <c r="GA35">
        <v>0.99600821289512298</v>
      </c>
      <c r="GB35">
        <v>427.93277308478298</v>
      </c>
      <c r="GC35">
        <v>0.36242092296629302</v>
      </c>
      <c r="GD35">
        <v>0.87174915813041198</v>
      </c>
      <c r="GE35">
        <v>4040.8283722742199</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0.33646902882655799</v>
      </c>
      <c r="HB35">
        <v>0.75649450988937905</v>
      </c>
      <c r="HC35">
        <v>6314.5061746277397</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f t="shared" si="0"/>
        <v>7</v>
      </c>
    </row>
    <row r="36" spans="1:263" x14ac:dyDescent="0.3">
      <c r="A36" t="s">
        <v>1514</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0.43403030415454302</v>
      </c>
      <c r="AV36">
        <v>1</v>
      </c>
      <c r="AW36">
        <v>108.237904348326</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0.59008714531996598</v>
      </c>
      <c r="FF36">
        <v>0.99990146978709304</v>
      </c>
      <c r="FG36">
        <v>3353.4609992445999</v>
      </c>
      <c r="FH36">
        <v>0</v>
      </c>
      <c r="FI36">
        <v>0</v>
      </c>
      <c r="FJ36">
        <v>0</v>
      </c>
      <c r="FK36">
        <v>0.47499452082413202</v>
      </c>
      <c r="FL36">
        <v>0.99715490267197404</v>
      </c>
      <c r="FM36">
        <v>269.377866811133</v>
      </c>
      <c r="FN36">
        <v>0</v>
      </c>
      <c r="FO36">
        <v>0</v>
      </c>
      <c r="FP36">
        <v>0</v>
      </c>
      <c r="FQ36">
        <v>0</v>
      </c>
      <c r="FR36">
        <v>0</v>
      </c>
      <c r="FS36">
        <v>0</v>
      </c>
      <c r="FT36">
        <v>0.56938611509852</v>
      </c>
      <c r="FU36">
        <v>0.96532890370801006</v>
      </c>
      <c r="FV36">
        <v>1636.0563389003701</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f t="shared" si="0"/>
        <v>4</v>
      </c>
    </row>
    <row r="37" spans="1:263" x14ac:dyDescent="0.3">
      <c r="A37" t="s">
        <v>1456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0.47403885016131603</v>
      </c>
      <c r="BN37">
        <v>0.97271168750016601</v>
      </c>
      <c r="BO37">
        <v>4363.6538998879596</v>
      </c>
      <c r="BP37">
        <v>0</v>
      </c>
      <c r="BQ37">
        <v>0</v>
      </c>
      <c r="BR37">
        <v>0</v>
      </c>
      <c r="BS37">
        <v>0.42981913361440699</v>
      </c>
      <c r="BT37">
        <v>0.99926582304878797</v>
      </c>
      <c r="BU37">
        <v>7577.8285688637698</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0.521369318975063</v>
      </c>
      <c r="GV37">
        <v>0.99839441183723698</v>
      </c>
      <c r="GW37">
        <v>4462.67603552113</v>
      </c>
      <c r="GX37">
        <v>0</v>
      </c>
      <c r="GY37">
        <v>0</v>
      </c>
      <c r="GZ37">
        <v>0</v>
      </c>
      <c r="HA37">
        <v>0</v>
      </c>
      <c r="HB37">
        <v>0</v>
      </c>
      <c r="HC37">
        <v>0</v>
      </c>
      <c r="HD37">
        <v>0</v>
      </c>
      <c r="HE37">
        <v>0</v>
      </c>
      <c r="HF37">
        <v>0</v>
      </c>
      <c r="HG37">
        <v>0.41982333842740499</v>
      </c>
      <c r="HH37">
        <v>0.99829779825713605</v>
      </c>
      <c r="HI37">
        <v>7195.3813707543804</v>
      </c>
      <c r="HJ37">
        <v>0</v>
      </c>
      <c r="HK37">
        <v>0</v>
      </c>
      <c r="HL37">
        <v>0</v>
      </c>
      <c r="HM37">
        <v>0.47401991560502199</v>
      </c>
      <c r="HN37">
        <v>0.97271917359683702</v>
      </c>
      <c r="HO37">
        <v>4363.6532226653399</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0</v>
      </c>
      <c r="JC37">
        <f t="shared" si="0"/>
        <v>5</v>
      </c>
    </row>
    <row r="38" spans="1:263" x14ac:dyDescent="0.3">
      <c r="A38" t="s">
        <v>1835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0.34804506900533599</v>
      </c>
      <c r="BN38">
        <v>0.980544360162247</v>
      </c>
      <c r="BO38">
        <v>3599.3943579434899</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0.34804506900533599</v>
      </c>
      <c r="HN38">
        <v>0.980544360162247</v>
      </c>
      <c r="HO38">
        <v>3599.3943579434899</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0</v>
      </c>
      <c r="IL38">
        <v>0</v>
      </c>
      <c r="IM38">
        <v>0</v>
      </c>
      <c r="IN38">
        <v>0</v>
      </c>
      <c r="IO38">
        <v>0</v>
      </c>
      <c r="IP38">
        <v>0</v>
      </c>
      <c r="IQ38">
        <v>0</v>
      </c>
      <c r="IR38">
        <v>0</v>
      </c>
      <c r="IS38">
        <v>0</v>
      </c>
      <c r="IT38">
        <v>0</v>
      </c>
      <c r="IU38">
        <v>0</v>
      </c>
      <c r="IV38">
        <v>0</v>
      </c>
      <c r="IW38">
        <v>0</v>
      </c>
      <c r="IX38">
        <v>0</v>
      </c>
      <c r="IY38">
        <v>0</v>
      </c>
      <c r="IZ38">
        <v>0</v>
      </c>
      <c r="JA38">
        <v>0</v>
      </c>
      <c r="JB38">
        <v>0</v>
      </c>
      <c r="JC38">
        <f t="shared" si="0"/>
        <v>2</v>
      </c>
    </row>
    <row r="39" spans="1:263" x14ac:dyDescent="0.3">
      <c r="A39" t="s">
        <v>1836</v>
      </c>
      <c r="B39">
        <v>0</v>
      </c>
      <c r="C39">
        <v>0</v>
      </c>
      <c r="D39">
        <v>0</v>
      </c>
      <c r="E39">
        <v>0</v>
      </c>
      <c r="F39">
        <v>0</v>
      </c>
      <c r="G39">
        <v>0</v>
      </c>
      <c r="H39">
        <v>0</v>
      </c>
      <c r="I39">
        <v>0</v>
      </c>
      <c r="J39">
        <v>0</v>
      </c>
      <c r="K39">
        <v>8.5438096870368394E-2</v>
      </c>
      <c r="L39">
        <v>0.31508262127916697</v>
      </c>
      <c r="M39">
        <v>0.97803470990062902</v>
      </c>
      <c r="N39">
        <v>0</v>
      </c>
      <c r="O39">
        <v>0</v>
      </c>
      <c r="P39">
        <v>0</v>
      </c>
      <c r="Q39">
        <v>0</v>
      </c>
      <c r="R39">
        <v>0</v>
      </c>
      <c r="S39">
        <v>0</v>
      </c>
      <c r="T39">
        <v>0</v>
      </c>
      <c r="U39">
        <v>0</v>
      </c>
      <c r="V39">
        <v>0</v>
      </c>
      <c r="W39">
        <v>0.34700442365049</v>
      </c>
      <c r="X39">
        <v>0.92916430649340898</v>
      </c>
      <c r="Y39">
        <v>2180.65508745541</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0</v>
      </c>
      <c r="IK39">
        <v>0</v>
      </c>
      <c r="IL39">
        <v>0</v>
      </c>
      <c r="IM39">
        <v>0</v>
      </c>
      <c r="IN39">
        <v>0</v>
      </c>
      <c r="IO39">
        <v>0</v>
      </c>
      <c r="IP39">
        <v>0</v>
      </c>
      <c r="IQ39">
        <v>0</v>
      </c>
      <c r="IR39">
        <v>0</v>
      </c>
      <c r="IS39">
        <v>0</v>
      </c>
      <c r="IT39">
        <v>0</v>
      </c>
      <c r="IU39">
        <v>0</v>
      </c>
      <c r="IV39">
        <v>0</v>
      </c>
      <c r="IW39">
        <v>0</v>
      </c>
      <c r="IX39">
        <v>0</v>
      </c>
      <c r="IY39">
        <v>0</v>
      </c>
      <c r="IZ39">
        <v>0</v>
      </c>
      <c r="JA39">
        <v>0</v>
      </c>
      <c r="JB39">
        <v>0</v>
      </c>
      <c r="JC39">
        <f t="shared" si="0"/>
        <v>2</v>
      </c>
    </row>
    <row r="40" spans="1:263" x14ac:dyDescent="0.3">
      <c r="A40" t="s">
        <v>1487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0.21913383088847599</v>
      </c>
      <c r="AM40">
        <v>0.96019649548620101</v>
      </c>
      <c r="AN40">
        <v>61.478252913811097</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0.45009480959998099</v>
      </c>
      <c r="EB40">
        <v>0.97556766395387295</v>
      </c>
      <c r="EC40">
        <v>5178.80875740181</v>
      </c>
      <c r="ED40">
        <v>0.44935761628070597</v>
      </c>
      <c r="EE40">
        <v>0.97622957925370801</v>
      </c>
      <c r="EF40">
        <v>5365.3280020153397</v>
      </c>
      <c r="EG40">
        <v>0.45116579314556299</v>
      </c>
      <c r="EH40">
        <v>0.980878229059155</v>
      </c>
      <c r="EI40">
        <v>5688.0076274029398</v>
      </c>
      <c r="EJ40">
        <v>0.454954697081702</v>
      </c>
      <c r="EK40">
        <v>0.97841795619753102</v>
      </c>
      <c r="EL40">
        <v>7431.8628033280302</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0.43715852566943098</v>
      </c>
      <c r="FR40">
        <v>0.97907505786938898</v>
      </c>
      <c r="FS40">
        <v>14834.7980548826</v>
      </c>
      <c r="FT40">
        <v>0.42283947928876497</v>
      </c>
      <c r="FU40">
        <v>0.98530363538180399</v>
      </c>
      <c r="FV40">
        <v>3627.81030141867</v>
      </c>
      <c r="FW40">
        <v>0.41003230777728999</v>
      </c>
      <c r="FX40">
        <v>0.96428774920322102</v>
      </c>
      <c r="FY40">
        <v>48641.663860842302</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0.38863547791109898</v>
      </c>
      <c r="HB40">
        <v>0.88648418300792298</v>
      </c>
      <c r="HC40">
        <v>6335.26595015776</v>
      </c>
      <c r="HD40">
        <v>0.328094109987144</v>
      </c>
      <c r="HE40">
        <v>0.92462697586194598</v>
      </c>
      <c r="HF40">
        <v>12236.2186032793</v>
      </c>
      <c r="HG40">
        <v>0</v>
      </c>
      <c r="HH40">
        <v>0</v>
      </c>
      <c r="HI40">
        <v>0</v>
      </c>
      <c r="HJ40">
        <v>0</v>
      </c>
      <c r="HK40">
        <v>0</v>
      </c>
      <c r="HL40">
        <v>0</v>
      </c>
      <c r="HM40">
        <v>0</v>
      </c>
      <c r="HN40">
        <v>0</v>
      </c>
      <c r="HO40">
        <v>0</v>
      </c>
      <c r="HP40">
        <v>0</v>
      </c>
      <c r="HQ40">
        <v>0</v>
      </c>
      <c r="HR40">
        <v>0</v>
      </c>
      <c r="HS40">
        <v>0</v>
      </c>
      <c r="HT40">
        <v>0</v>
      </c>
      <c r="HU40">
        <v>0</v>
      </c>
      <c r="HV40">
        <v>0</v>
      </c>
      <c r="HW40">
        <v>0</v>
      </c>
      <c r="HX40">
        <v>0</v>
      </c>
      <c r="HY40">
        <v>0</v>
      </c>
      <c r="HZ40">
        <v>0</v>
      </c>
      <c r="IA40">
        <v>0</v>
      </c>
      <c r="IB40">
        <v>0</v>
      </c>
      <c r="IC40">
        <v>0</v>
      </c>
      <c r="ID40">
        <v>0</v>
      </c>
      <c r="IE40">
        <v>0</v>
      </c>
      <c r="IF40">
        <v>0</v>
      </c>
      <c r="IG40">
        <v>0</v>
      </c>
      <c r="IH40">
        <v>0.49629393060799698</v>
      </c>
      <c r="II40">
        <v>0.98957295236458598</v>
      </c>
      <c r="IJ40">
        <v>4743.9563991329696</v>
      </c>
      <c r="IK40">
        <v>0</v>
      </c>
      <c r="IL40">
        <v>0</v>
      </c>
      <c r="IM40">
        <v>0</v>
      </c>
      <c r="IN40">
        <v>0</v>
      </c>
      <c r="IO40">
        <v>0</v>
      </c>
      <c r="IP40">
        <v>0</v>
      </c>
      <c r="IQ40">
        <v>0.37885120073974299</v>
      </c>
      <c r="IR40">
        <v>0.91913997016305404</v>
      </c>
      <c r="IS40">
        <v>11083.791594705101</v>
      </c>
      <c r="IT40">
        <v>0.384295352100535</v>
      </c>
      <c r="IU40">
        <v>0.91493903553335099</v>
      </c>
      <c r="IV40">
        <v>12528.9630772779</v>
      </c>
      <c r="IW40">
        <v>0</v>
      </c>
      <c r="IX40">
        <v>0</v>
      </c>
      <c r="IY40">
        <v>0</v>
      </c>
      <c r="IZ40">
        <v>0</v>
      </c>
      <c r="JA40">
        <v>0</v>
      </c>
      <c r="JB40">
        <v>0</v>
      </c>
      <c r="JC40">
        <f t="shared" si="0"/>
        <v>13</v>
      </c>
    </row>
    <row r="41" spans="1:263" x14ac:dyDescent="0.3">
      <c r="A41" t="s">
        <v>1451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0.28971893371667601</v>
      </c>
      <c r="CO41">
        <v>0.979361623433189</v>
      </c>
      <c r="CP41">
        <v>2863.78585377335</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0.30008951769384001</v>
      </c>
      <c r="GG41">
        <v>0.99544073342800499</v>
      </c>
      <c r="GH41">
        <v>6844.5876910597299</v>
      </c>
      <c r="GI41">
        <v>0</v>
      </c>
      <c r="GJ41">
        <v>0</v>
      </c>
      <c r="GK41">
        <v>0</v>
      </c>
      <c r="GL41">
        <v>0</v>
      </c>
      <c r="GM41">
        <v>0</v>
      </c>
      <c r="GN41">
        <v>0</v>
      </c>
      <c r="GO41">
        <v>0</v>
      </c>
      <c r="GP41">
        <v>0</v>
      </c>
      <c r="GQ41">
        <v>0</v>
      </c>
      <c r="GR41">
        <v>0.177577141952829</v>
      </c>
      <c r="GS41">
        <v>0.99812349148324198</v>
      </c>
      <c r="GT41">
        <v>64.673068687382994</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P41">
        <v>0</v>
      </c>
      <c r="IQ41">
        <v>0</v>
      </c>
      <c r="IR41">
        <v>0</v>
      </c>
      <c r="IS41">
        <v>0</v>
      </c>
      <c r="IT41">
        <v>0</v>
      </c>
      <c r="IU41">
        <v>0</v>
      </c>
      <c r="IV41">
        <v>0</v>
      </c>
      <c r="IW41">
        <v>0</v>
      </c>
      <c r="IX41">
        <v>0</v>
      </c>
      <c r="IY41">
        <v>0</v>
      </c>
      <c r="IZ41">
        <v>0</v>
      </c>
      <c r="JA41">
        <v>0</v>
      </c>
      <c r="JB41">
        <v>0</v>
      </c>
      <c r="JC41">
        <f t="shared" si="0"/>
        <v>3</v>
      </c>
    </row>
    <row r="42" spans="1:263" x14ac:dyDescent="0.3">
      <c r="A42" t="s">
        <v>1446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0.36837994021620102</v>
      </c>
      <c r="GG42">
        <v>0.86466006591464495</v>
      </c>
      <c r="GH42">
        <v>14325.5067561369</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0.43221104099451502</v>
      </c>
      <c r="HE42">
        <v>0.81982109332090503</v>
      </c>
      <c r="HF42">
        <v>15051.6703792402</v>
      </c>
      <c r="HG42">
        <v>0</v>
      </c>
      <c r="HH42">
        <v>0</v>
      </c>
      <c r="HI42">
        <v>0</v>
      </c>
      <c r="HJ42">
        <v>0.39553524496622799</v>
      </c>
      <c r="HK42">
        <v>0.99580449465438503</v>
      </c>
      <c r="HL42">
        <v>23618.2922906491</v>
      </c>
      <c r="HM42">
        <v>0</v>
      </c>
      <c r="HN42">
        <v>0</v>
      </c>
      <c r="HO42">
        <v>0</v>
      </c>
      <c r="HP42">
        <v>0</v>
      </c>
      <c r="HQ42">
        <v>0</v>
      </c>
      <c r="HR42">
        <v>0</v>
      </c>
      <c r="HS42">
        <v>0</v>
      </c>
      <c r="HT42">
        <v>0</v>
      </c>
      <c r="HU42">
        <v>0</v>
      </c>
      <c r="HV42">
        <v>0</v>
      </c>
      <c r="HW42">
        <v>0</v>
      </c>
      <c r="HX42">
        <v>0</v>
      </c>
      <c r="HY42">
        <v>0</v>
      </c>
      <c r="HZ42">
        <v>0</v>
      </c>
      <c r="IA42">
        <v>0</v>
      </c>
      <c r="IB42">
        <v>0</v>
      </c>
      <c r="IC42">
        <v>0</v>
      </c>
      <c r="ID42">
        <v>0</v>
      </c>
      <c r="IE42">
        <v>0</v>
      </c>
      <c r="IF42">
        <v>0</v>
      </c>
      <c r="IG42">
        <v>0</v>
      </c>
      <c r="IH42">
        <v>0</v>
      </c>
      <c r="II42">
        <v>0</v>
      </c>
      <c r="IJ42">
        <v>0</v>
      </c>
      <c r="IK42">
        <v>0</v>
      </c>
      <c r="IL42">
        <v>0</v>
      </c>
      <c r="IM42">
        <v>0</v>
      </c>
      <c r="IN42">
        <v>0</v>
      </c>
      <c r="IO42">
        <v>0</v>
      </c>
      <c r="IP42">
        <v>0</v>
      </c>
      <c r="IQ42">
        <v>0</v>
      </c>
      <c r="IR42">
        <v>0</v>
      </c>
      <c r="IS42">
        <v>0</v>
      </c>
      <c r="IT42">
        <v>0</v>
      </c>
      <c r="IU42">
        <v>0</v>
      </c>
      <c r="IV42">
        <v>0</v>
      </c>
      <c r="IW42">
        <v>0</v>
      </c>
      <c r="IX42">
        <v>0</v>
      </c>
      <c r="IY42">
        <v>0</v>
      </c>
      <c r="IZ42">
        <v>0</v>
      </c>
      <c r="JA42">
        <v>0</v>
      </c>
      <c r="JB42">
        <v>0</v>
      </c>
      <c r="JC42">
        <f t="shared" si="0"/>
        <v>3</v>
      </c>
    </row>
    <row r="43" spans="1:263" x14ac:dyDescent="0.3">
      <c r="A43" t="s">
        <v>1837</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0.40033233380412803</v>
      </c>
      <c r="EK43">
        <v>0.98714076563766995</v>
      </c>
      <c r="EL43">
        <v>1018.73095240065</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0.344336864573141</v>
      </c>
      <c r="FX43">
        <v>0.99163650908262302</v>
      </c>
      <c r="FY43">
        <v>321.27633965937798</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f t="shared" si="0"/>
        <v>2</v>
      </c>
    </row>
    <row r="44" spans="1:263" x14ac:dyDescent="0.3">
      <c r="A44" t="s">
        <v>1466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0.46376902293157501</v>
      </c>
      <c r="AV44">
        <v>0.98969227018647699</v>
      </c>
      <c r="AW44">
        <v>16609.322260660301</v>
      </c>
      <c r="AX44">
        <v>0.43542471173735903</v>
      </c>
      <c r="AY44">
        <v>0.96990478035255401</v>
      </c>
      <c r="AZ44">
        <v>25234.866315966901</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0.42139028807955098</v>
      </c>
      <c r="BW44">
        <v>0.94808782812477599</v>
      </c>
      <c r="BX44">
        <v>10166.2617268579</v>
      </c>
      <c r="BY44">
        <v>0.41520839392331799</v>
      </c>
      <c r="BZ44">
        <v>0.90633686018793003</v>
      </c>
      <c r="CA44">
        <v>9673.1049552718996</v>
      </c>
      <c r="CB44">
        <v>0.43476927689443801</v>
      </c>
      <c r="CC44">
        <v>0.99090544012770299</v>
      </c>
      <c r="CD44">
        <v>14213.3400350433</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0.38876088437613898</v>
      </c>
      <c r="EN44">
        <v>0.93235879348281303</v>
      </c>
      <c r="EO44">
        <v>7681.0178337282896</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0.34725116136342499</v>
      </c>
      <c r="FL44">
        <v>0.97884286288848299</v>
      </c>
      <c r="FM44">
        <v>2413.1639950343902</v>
      </c>
      <c r="FN44">
        <v>0</v>
      </c>
      <c r="FO44">
        <v>0</v>
      </c>
      <c r="FP44">
        <v>0</v>
      </c>
      <c r="FQ44">
        <v>0</v>
      </c>
      <c r="FR44">
        <v>0</v>
      </c>
      <c r="FS44">
        <v>0</v>
      </c>
      <c r="FT44">
        <v>0.39157035115397398</v>
      </c>
      <c r="FU44">
        <v>0.93745778483320596</v>
      </c>
      <c r="FV44">
        <v>7664.9970750975399</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0.53777841266681803</v>
      </c>
      <c r="GS44">
        <v>1</v>
      </c>
      <c r="GT44">
        <v>188.42215499486301</v>
      </c>
      <c r="GU44">
        <v>0</v>
      </c>
      <c r="GV44">
        <v>0</v>
      </c>
      <c r="GW44">
        <v>0</v>
      </c>
      <c r="GX44">
        <v>0</v>
      </c>
      <c r="GY44">
        <v>0</v>
      </c>
      <c r="GZ44">
        <v>0</v>
      </c>
      <c r="HA44">
        <v>0</v>
      </c>
      <c r="HB44">
        <v>0</v>
      </c>
      <c r="HC44">
        <v>0</v>
      </c>
      <c r="HD44">
        <v>0.44388127689290102</v>
      </c>
      <c r="HE44">
        <v>0.97635119887392596</v>
      </c>
      <c r="HF44">
        <v>13889.7065826905</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0.42929339386614801</v>
      </c>
      <c r="IF44">
        <v>0.97935539942826599</v>
      </c>
      <c r="IG44">
        <v>4616.5995877001496</v>
      </c>
      <c r="IH44">
        <v>0</v>
      </c>
      <c r="II44">
        <v>0</v>
      </c>
      <c r="IJ44">
        <v>0</v>
      </c>
      <c r="IK44">
        <v>0</v>
      </c>
      <c r="IL44">
        <v>0</v>
      </c>
      <c r="IM44">
        <v>0</v>
      </c>
      <c r="IN44">
        <v>0</v>
      </c>
      <c r="IO44">
        <v>0</v>
      </c>
      <c r="IP44">
        <v>0</v>
      </c>
      <c r="IQ44">
        <v>0</v>
      </c>
      <c r="IR44">
        <v>0</v>
      </c>
      <c r="IS44">
        <v>0</v>
      </c>
      <c r="IT44">
        <v>0</v>
      </c>
      <c r="IU44">
        <v>0</v>
      </c>
      <c r="IV44">
        <v>0</v>
      </c>
      <c r="IW44">
        <v>0</v>
      </c>
      <c r="IX44">
        <v>0</v>
      </c>
      <c r="IY44">
        <v>0</v>
      </c>
      <c r="IZ44">
        <v>0</v>
      </c>
      <c r="JA44">
        <v>0</v>
      </c>
      <c r="JB44">
        <v>0</v>
      </c>
      <c r="JC44">
        <f t="shared" si="0"/>
        <v>11</v>
      </c>
    </row>
    <row r="45" spans="1:263" x14ac:dyDescent="0.3">
      <c r="A45" t="s">
        <v>1463</v>
      </c>
      <c r="B45">
        <v>0</v>
      </c>
      <c r="C45">
        <v>0</v>
      </c>
      <c r="D45">
        <v>0</v>
      </c>
      <c r="E45">
        <v>0</v>
      </c>
      <c r="F45">
        <v>0</v>
      </c>
      <c r="G45">
        <v>0</v>
      </c>
      <c r="H45">
        <v>0</v>
      </c>
      <c r="I45">
        <v>0</v>
      </c>
      <c r="J45">
        <v>0</v>
      </c>
      <c r="K45">
        <v>0</v>
      </c>
      <c r="L45">
        <v>0</v>
      </c>
      <c r="M45">
        <v>0</v>
      </c>
      <c r="N45">
        <v>0.63090709702507897</v>
      </c>
      <c r="O45">
        <v>0.99977226763716298</v>
      </c>
      <c r="P45">
        <v>689.46756488071696</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0.442360382997187</v>
      </c>
      <c r="DV45">
        <v>0.99454620482970502</v>
      </c>
      <c r="DW45">
        <v>8006.0141863796498</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0.63090709702507897</v>
      </c>
      <c r="HN45">
        <v>0.99977226763716298</v>
      </c>
      <c r="HO45">
        <v>689.46756488071696</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0</v>
      </c>
      <c r="IW45">
        <v>0.19305128826641699</v>
      </c>
      <c r="IX45">
        <v>0.87885992079027198</v>
      </c>
      <c r="IY45">
        <v>149.47677888788101</v>
      </c>
      <c r="IZ45">
        <v>0</v>
      </c>
      <c r="JA45">
        <v>0</v>
      </c>
      <c r="JB45">
        <v>0</v>
      </c>
      <c r="JC45">
        <f t="shared" si="0"/>
        <v>4</v>
      </c>
    </row>
    <row r="46" spans="1:263" x14ac:dyDescent="0.3">
      <c r="A46" t="s">
        <v>1465</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0.477912789786199</v>
      </c>
      <c r="GV46">
        <v>0.94787043512408597</v>
      </c>
      <c r="GW46">
        <v>8358.6579414427506</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c r="IL46">
        <v>0</v>
      </c>
      <c r="IM46">
        <v>0</v>
      </c>
      <c r="IN46">
        <v>0.466534552717286</v>
      </c>
      <c r="IO46">
        <v>0.95078264013848401</v>
      </c>
      <c r="IP46">
        <v>8638.7985181427903</v>
      </c>
      <c r="IQ46">
        <v>0</v>
      </c>
      <c r="IR46">
        <v>0</v>
      </c>
      <c r="IS46">
        <v>0</v>
      </c>
      <c r="IT46">
        <v>0</v>
      </c>
      <c r="IU46">
        <v>0</v>
      </c>
      <c r="IV46">
        <v>0</v>
      </c>
      <c r="IW46">
        <v>0</v>
      </c>
      <c r="IX46">
        <v>0</v>
      </c>
      <c r="IY46">
        <v>0</v>
      </c>
      <c r="IZ46">
        <v>0</v>
      </c>
      <c r="JA46">
        <v>0</v>
      </c>
      <c r="JB46">
        <v>0</v>
      </c>
      <c r="JC46">
        <f t="shared" si="0"/>
        <v>2</v>
      </c>
    </row>
    <row r="47" spans="1:263" x14ac:dyDescent="0.3">
      <c r="A47" t="s">
        <v>1482</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0.425897036896144</v>
      </c>
      <c r="CC47">
        <v>0.98950642189219895</v>
      </c>
      <c r="CD47">
        <v>3688.3124059863599</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0.49839522001881098</v>
      </c>
      <c r="FF47">
        <v>0.98530224124900501</v>
      </c>
      <c r="FG47">
        <v>9686.4256065556001</v>
      </c>
      <c r="FH47">
        <v>0.58643551353017798</v>
      </c>
      <c r="FI47">
        <v>0.98312361560906403</v>
      </c>
      <c r="FJ47">
        <v>3669.1434114502399</v>
      </c>
      <c r="FK47">
        <v>0.48511355042518201</v>
      </c>
      <c r="FL47">
        <v>0.990045481692853</v>
      </c>
      <c r="FM47">
        <v>2903.3037417791002</v>
      </c>
      <c r="FN47">
        <v>0.46018377595757098</v>
      </c>
      <c r="FO47">
        <v>0.97992094279250297</v>
      </c>
      <c r="FP47">
        <v>5233.2603526691601</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0.50058880893894597</v>
      </c>
      <c r="HQ47">
        <v>0.98108423174437798</v>
      </c>
      <c r="HR47">
        <v>7346.0341765527</v>
      </c>
      <c r="HS47">
        <v>0</v>
      </c>
      <c r="HT47">
        <v>0</v>
      </c>
      <c r="HU47">
        <v>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0</v>
      </c>
      <c r="IW47">
        <v>0</v>
      </c>
      <c r="IX47">
        <v>0</v>
      </c>
      <c r="IY47">
        <v>0</v>
      </c>
      <c r="IZ47">
        <v>0</v>
      </c>
      <c r="JA47">
        <v>0</v>
      </c>
      <c r="JB47">
        <v>0</v>
      </c>
      <c r="JC47">
        <f t="shared" si="0"/>
        <v>6</v>
      </c>
    </row>
    <row r="48" spans="1:263" x14ac:dyDescent="0.3">
      <c r="A48" t="s">
        <v>1489</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0.36016863533552601</v>
      </c>
      <c r="BW48">
        <v>0.90402220331454397</v>
      </c>
      <c r="BX48">
        <v>9723.3508349406293</v>
      </c>
      <c r="BY48">
        <v>0.32158549971630801</v>
      </c>
      <c r="BZ48">
        <v>0.92552700789193998</v>
      </c>
      <c r="CA48">
        <v>389.51377582982099</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0.413571219797644</v>
      </c>
      <c r="EQ48">
        <v>0.92598905630595896</v>
      </c>
      <c r="ER48">
        <v>6410.42567417796</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0.39891650062696199</v>
      </c>
      <c r="FR48">
        <v>0.98245857855515395</v>
      </c>
      <c r="FS48">
        <v>9761.0043523042095</v>
      </c>
      <c r="FT48">
        <v>0.36507738815643098</v>
      </c>
      <c r="FU48">
        <v>0.93330025508316505</v>
      </c>
      <c r="FV48">
        <v>15303.6826324103</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0.36641458449452002</v>
      </c>
      <c r="HE48">
        <v>0.93194907523699599</v>
      </c>
      <c r="HF48">
        <v>14859.054008715801</v>
      </c>
      <c r="HG48">
        <v>0</v>
      </c>
      <c r="HH48">
        <v>0</v>
      </c>
      <c r="HI48">
        <v>0</v>
      </c>
      <c r="HJ48">
        <v>0</v>
      </c>
      <c r="HK48">
        <v>0</v>
      </c>
      <c r="HL48">
        <v>0</v>
      </c>
      <c r="HM48">
        <v>0</v>
      </c>
      <c r="HN48">
        <v>0</v>
      </c>
      <c r="HO48">
        <v>0</v>
      </c>
      <c r="HP48">
        <v>0</v>
      </c>
      <c r="HQ48">
        <v>0</v>
      </c>
      <c r="HR48">
        <v>0</v>
      </c>
      <c r="HS48">
        <v>0.41299284000910802</v>
      </c>
      <c r="HT48">
        <v>0.96841248245561196</v>
      </c>
      <c r="HU48">
        <v>6743.86696376698</v>
      </c>
      <c r="HV48">
        <v>0.390108423925278</v>
      </c>
      <c r="HW48">
        <v>0.97548600724571699</v>
      </c>
      <c r="HX48">
        <v>11519.8719029651</v>
      </c>
      <c r="HY48">
        <v>0</v>
      </c>
      <c r="HZ48">
        <v>0</v>
      </c>
      <c r="IA48">
        <v>0</v>
      </c>
      <c r="IB48">
        <v>0</v>
      </c>
      <c r="IC48">
        <v>0</v>
      </c>
      <c r="ID48">
        <v>0</v>
      </c>
      <c r="IE48">
        <v>0</v>
      </c>
      <c r="IF48">
        <v>0</v>
      </c>
      <c r="IG48">
        <v>0</v>
      </c>
      <c r="IH48">
        <v>0</v>
      </c>
      <c r="II48">
        <v>0</v>
      </c>
      <c r="IJ48">
        <v>0</v>
      </c>
      <c r="IK48">
        <v>0</v>
      </c>
      <c r="IL48">
        <v>0</v>
      </c>
      <c r="IM48">
        <v>0</v>
      </c>
      <c r="IN48">
        <v>0</v>
      </c>
      <c r="IO48">
        <v>0</v>
      </c>
      <c r="IP48">
        <v>0</v>
      </c>
      <c r="IQ48">
        <v>0</v>
      </c>
      <c r="IR48">
        <v>0</v>
      </c>
      <c r="IS48">
        <v>0</v>
      </c>
      <c r="IT48">
        <v>0</v>
      </c>
      <c r="IU48">
        <v>0</v>
      </c>
      <c r="IV48">
        <v>0</v>
      </c>
      <c r="IW48">
        <v>0</v>
      </c>
      <c r="IX48">
        <v>0</v>
      </c>
      <c r="IY48">
        <v>0</v>
      </c>
      <c r="IZ48">
        <v>0.39656938187707602</v>
      </c>
      <c r="JA48">
        <v>0.95400144814765098</v>
      </c>
      <c r="JB48">
        <v>388.38994002709597</v>
      </c>
      <c r="JC48">
        <f t="shared" si="0"/>
        <v>9</v>
      </c>
    </row>
    <row r="49" spans="1:263" x14ac:dyDescent="0.3">
      <c r="A49" t="s">
        <v>1493</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0.43218659162307499</v>
      </c>
      <c r="AD49">
        <v>0.98868068425832101</v>
      </c>
      <c r="AE49">
        <v>3310.7730502608902</v>
      </c>
      <c r="AF49">
        <v>0</v>
      </c>
      <c r="AG49">
        <v>0</v>
      </c>
      <c r="AH49">
        <v>0</v>
      </c>
      <c r="AI49">
        <v>0</v>
      </c>
      <c r="AJ49">
        <v>0</v>
      </c>
      <c r="AK49">
        <v>0</v>
      </c>
      <c r="AL49">
        <v>0.36451195875062797</v>
      </c>
      <c r="AM49">
        <v>0.982994657437118</v>
      </c>
      <c r="AN49">
        <v>6209.9411967066899</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0.30911273321530702</v>
      </c>
      <c r="DS49">
        <v>0.90410478769567404</v>
      </c>
      <c r="DT49">
        <v>1218.10648769153</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0.32867678626648</v>
      </c>
      <c r="FR49">
        <v>0.89838456618672702</v>
      </c>
      <c r="FS49">
        <v>6255.66127643658</v>
      </c>
      <c r="FT49">
        <v>0.176776629385554</v>
      </c>
      <c r="FU49">
        <v>0.71314866542815303</v>
      </c>
      <c r="FV49">
        <v>211.18666008048399</v>
      </c>
      <c r="FW49">
        <v>0.25192632046479702</v>
      </c>
      <c r="FX49">
        <v>0.99754041564746099</v>
      </c>
      <c r="FY49">
        <v>85.212912240357895</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0.32416313536816899</v>
      </c>
      <c r="HE49">
        <v>0.907299401897396</v>
      </c>
      <c r="HF49">
        <v>4562.7154809436297</v>
      </c>
      <c r="HG49">
        <v>0</v>
      </c>
      <c r="HH49">
        <v>0</v>
      </c>
      <c r="HI49">
        <v>0</v>
      </c>
      <c r="HJ49">
        <v>0</v>
      </c>
      <c r="HK49">
        <v>0</v>
      </c>
      <c r="HL49">
        <v>0</v>
      </c>
      <c r="HM49">
        <v>0</v>
      </c>
      <c r="HN49">
        <v>0</v>
      </c>
      <c r="HO49">
        <v>0</v>
      </c>
      <c r="HP49">
        <v>0</v>
      </c>
      <c r="HQ49">
        <v>0</v>
      </c>
      <c r="HR49">
        <v>0</v>
      </c>
      <c r="HS49">
        <v>0.40181903770839</v>
      </c>
      <c r="HT49">
        <v>0.97186781675386402</v>
      </c>
      <c r="HU49">
        <v>6356.28895956215</v>
      </c>
      <c r="HV49">
        <v>0.17317242830468799</v>
      </c>
      <c r="HW49">
        <v>0.74255070492769604</v>
      </c>
      <c r="HX49">
        <v>77.9282401061065</v>
      </c>
      <c r="HY49">
        <v>0</v>
      </c>
      <c r="HZ49">
        <v>0</v>
      </c>
      <c r="IA49">
        <v>0</v>
      </c>
      <c r="IB49">
        <v>0</v>
      </c>
      <c r="IC49">
        <v>0</v>
      </c>
      <c r="ID49">
        <v>0</v>
      </c>
      <c r="IE49">
        <v>0</v>
      </c>
      <c r="IF49">
        <v>0</v>
      </c>
      <c r="IG49">
        <v>0</v>
      </c>
      <c r="IH49">
        <v>0</v>
      </c>
      <c r="II49">
        <v>0</v>
      </c>
      <c r="IJ49">
        <v>0</v>
      </c>
      <c r="IK49">
        <v>0</v>
      </c>
      <c r="IL49">
        <v>0</v>
      </c>
      <c r="IM49">
        <v>0</v>
      </c>
      <c r="IN49">
        <v>0</v>
      </c>
      <c r="IO49">
        <v>0</v>
      </c>
      <c r="IP49">
        <v>0</v>
      </c>
      <c r="IQ49">
        <v>0</v>
      </c>
      <c r="IR49">
        <v>0</v>
      </c>
      <c r="IS49">
        <v>0</v>
      </c>
      <c r="IT49">
        <v>0</v>
      </c>
      <c r="IU49">
        <v>0</v>
      </c>
      <c r="IV49">
        <v>0</v>
      </c>
      <c r="IW49">
        <v>0</v>
      </c>
      <c r="IX49">
        <v>0</v>
      </c>
      <c r="IY49">
        <v>0</v>
      </c>
      <c r="IZ49">
        <v>0</v>
      </c>
      <c r="JA49">
        <v>0</v>
      </c>
      <c r="JB49">
        <v>0</v>
      </c>
      <c r="JC49">
        <f t="shared" si="0"/>
        <v>9</v>
      </c>
    </row>
    <row r="50" spans="1:263" x14ac:dyDescent="0.3">
      <c r="JB50" s="1" t="s">
        <v>2123</v>
      </c>
      <c r="JC50" s="1">
        <f>AVERAGE(JC2:JC49)</f>
        <v>5.145833333333333</v>
      </c>
    </row>
  </sheetData>
  <autoFilter ref="A1:JC50" xr:uid="{EECF4BFF-BAA2-40F3-8CFE-F00E8098DA66}">
    <sortState xmlns:xlrd2="http://schemas.microsoft.com/office/spreadsheetml/2017/richdata2" ref="A2:JC50">
      <sortCondition ref="A2:A5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6A589-6C57-4E35-9920-4173E86CF42D}">
  <dimension ref="A1:EY50"/>
  <sheetViews>
    <sheetView topLeftCell="DX1" workbookViewId="0">
      <selection activeCell="EY2" sqref="EY2"/>
    </sheetView>
  </sheetViews>
  <sheetFormatPr defaultRowHeight="14.4" x14ac:dyDescent="0.3"/>
  <cols>
    <col min="1" max="1" width="19.6640625" bestFit="1" customWidth="1"/>
    <col min="62" max="62" width="20.88671875" bestFit="1" customWidth="1"/>
    <col min="63" max="63" width="21" bestFit="1" customWidth="1"/>
    <col min="64" max="64" width="20.109375" bestFit="1" customWidth="1"/>
    <col min="155" max="155" width="16.33203125" bestFit="1" customWidth="1"/>
  </cols>
  <sheetData>
    <row r="1" spans="1:155" x14ac:dyDescent="0.3">
      <c r="A1" s="1" t="s">
        <v>1671</v>
      </c>
      <c r="B1" t="s">
        <v>1672</v>
      </c>
      <c r="C1" t="s">
        <v>1673</v>
      </c>
      <c r="D1" t="s">
        <v>1674</v>
      </c>
      <c r="E1" t="s">
        <v>1675</v>
      </c>
      <c r="F1" t="s">
        <v>1676</v>
      </c>
      <c r="G1" t="s">
        <v>1677</v>
      </c>
      <c r="H1" t="s">
        <v>1678</v>
      </c>
      <c r="I1" t="s">
        <v>1679</v>
      </c>
      <c r="J1" t="s">
        <v>1680</v>
      </c>
      <c r="K1" t="s">
        <v>1681</v>
      </c>
      <c r="L1" t="s">
        <v>1682</v>
      </c>
      <c r="M1" t="s">
        <v>1683</v>
      </c>
      <c r="N1" t="s">
        <v>1684</v>
      </c>
      <c r="O1" t="s">
        <v>1685</v>
      </c>
      <c r="P1" t="s">
        <v>1686</v>
      </c>
      <c r="Q1" t="s">
        <v>1687</v>
      </c>
      <c r="R1" t="s">
        <v>1688</v>
      </c>
      <c r="S1" t="s">
        <v>1689</v>
      </c>
      <c r="T1" t="s">
        <v>1690</v>
      </c>
      <c r="U1" t="s">
        <v>1691</v>
      </c>
      <c r="V1" t="s">
        <v>1692</v>
      </c>
      <c r="W1" t="s">
        <v>1693</v>
      </c>
      <c r="X1" t="s">
        <v>1694</v>
      </c>
      <c r="Y1" t="s">
        <v>1695</v>
      </c>
      <c r="Z1" t="s">
        <v>1696</v>
      </c>
      <c r="AA1" t="s">
        <v>1697</v>
      </c>
      <c r="AB1" t="s">
        <v>1698</v>
      </c>
      <c r="AC1" t="s">
        <v>1699</v>
      </c>
      <c r="AD1" t="s">
        <v>1700</v>
      </c>
      <c r="AE1" t="s">
        <v>1701</v>
      </c>
      <c r="AF1" t="s">
        <v>1702</v>
      </c>
      <c r="AG1" t="s">
        <v>1703</v>
      </c>
      <c r="AH1" t="s">
        <v>1704</v>
      </c>
      <c r="AI1" t="s">
        <v>1705</v>
      </c>
      <c r="AJ1" t="s">
        <v>1706</v>
      </c>
      <c r="AK1" t="s">
        <v>1707</v>
      </c>
      <c r="AL1" t="s">
        <v>1708</v>
      </c>
      <c r="AM1" t="s">
        <v>1709</v>
      </c>
      <c r="AN1" t="s">
        <v>1710</v>
      </c>
      <c r="AO1" t="s">
        <v>1711</v>
      </c>
      <c r="AP1" t="s">
        <v>1712</v>
      </c>
      <c r="AQ1" t="s">
        <v>1713</v>
      </c>
      <c r="AR1" t="s">
        <v>1714</v>
      </c>
      <c r="AS1" t="s">
        <v>1715</v>
      </c>
      <c r="AT1" t="s">
        <v>1716</v>
      </c>
      <c r="AU1" t="s">
        <v>1717</v>
      </c>
      <c r="AV1" t="s">
        <v>1718</v>
      </c>
      <c r="AW1" t="s">
        <v>1719</v>
      </c>
      <c r="AX1" t="s">
        <v>1720</v>
      </c>
      <c r="AY1" t="s">
        <v>1721</v>
      </c>
      <c r="AZ1" t="s">
        <v>1722</v>
      </c>
      <c r="BA1" t="s">
        <v>1723</v>
      </c>
      <c r="BB1" t="s">
        <v>1724</v>
      </c>
      <c r="BC1" t="s">
        <v>1725</v>
      </c>
      <c r="BD1" t="s">
        <v>1726</v>
      </c>
      <c r="BE1" t="s">
        <v>1727</v>
      </c>
      <c r="BF1" t="s">
        <v>1728</v>
      </c>
      <c r="BG1" t="s">
        <v>1729</v>
      </c>
      <c r="BH1" t="s">
        <v>1730</v>
      </c>
      <c r="BI1" t="s">
        <v>1731</v>
      </c>
      <c r="BJ1" t="s">
        <v>1732</v>
      </c>
      <c r="BK1" t="s">
        <v>1733</v>
      </c>
      <c r="BL1" t="s">
        <v>1734</v>
      </c>
      <c r="BM1" t="s">
        <v>1735</v>
      </c>
      <c r="BN1" t="s">
        <v>1736</v>
      </c>
      <c r="BO1" t="s">
        <v>1737</v>
      </c>
      <c r="BP1" t="s">
        <v>1738</v>
      </c>
      <c r="BQ1" t="s">
        <v>1739</v>
      </c>
      <c r="BR1" t="s">
        <v>1740</v>
      </c>
      <c r="BS1" t="s">
        <v>1741</v>
      </c>
      <c r="BT1" t="s">
        <v>1742</v>
      </c>
      <c r="BU1" t="s">
        <v>1743</v>
      </c>
      <c r="BV1" t="s">
        <v>1744</v>
      </c>
      <c r="BW1" t="s">
        <v>1745</v>
      </c>
      <c r="BX1" t="s">
        <v>1746</v>
      </c>
      <c r="BY1" t="s">
        <v>1747</v>
      </c>
      <c r="BZ1" t="s">
        <v>1748</v>
      </c>
      <c r="CA1" t="s">
        <v>1749</v>
      </c>
      <c r="CB1" t="s">
        <v>1750</v>
      </c>
      <c r="CC1" t="s">
        <v>1751</v>
      </c>
      <c r="CD1" t="s">
        <v>1752</v>
      </c>
      <c r="CE1" t="s">
        <v>1753</v>
      </c>
      <c r="CF1" t="s">
        <v>1754</v>
      </c>
      <c r="CG1" t="s">
        <v>1755</v>
      </c>
      <c r="CH1" t="s">
        <v>1756</v>
      </c>
      <c r="CI1" t="s">
        <v>1757</v>
      </c>
      <c r="CJ1" t="s">
        <v>1758</v>
      </c>
      <c r="CK1" t="s">
        <v>1759</v>
      </c>
      <c r="CL1" t="s">
        <v>1760</v>
      </c>
      <c r="CM1" t="s">
        <v>1761</v>
      </c>
      <c r="CN1" t="s">
        <v>1762</v>
      </c>
      <c r="CO1" t="s">
        <v>1763</v>
      </c>
      <c r="CP1" t="s">
        <v>1764</v>
      </c>
      <c r="CQ1" t="s">
        <v>1765</v>
      </c>
      <c r="CR1" t="s">
        <v>1766</v>
      </c>
      <c r="CS1" t="s">
        <v>1767</v>
      </c>
      <c r="CT1" t="s">
        <v>1768</v>
      </c>
      <c r="CU1" t="s">
        <v>1769</v>
      </c>
      <c r="CV1" t="s">
        <v>1770</v>
      </c>
      <c r="CW1" t="s">
        <v>1771</v>
      </c>
      <c r="CX1" t="s">
        <v>1772</v>
      </c>
      <c r="CY1" t="s">
        <v>1773</v>
      </c>
      <c r="CZ1" t="s">
        <v>1774</v>
      </c>
      <c r="DA1" t="s">
        <v>1775</v>
      </c>
      <c r="DB1" t="s">
        <v>1776</v>
      </c>
      <c r="DC1" t="s">
        <v>1777</v>
      </c>
      <c r="DD1" t="s">
        <v>1778</v>
      </c>
      <c r="DE1" t="s">
        <v>1779</v>
      </c>
      <c r="DF1" t="s">
        <v>1780</v>
      </c>
      <c r="DG1" t="s">
        <v>1781</v>
      </c>
      <c r="DH1" t="s">
        <v>1782</v>
      </c>
      <c r="DI1" t="s">
        <v>1783</v>
      </c>
      <c r="DJ1" t="s">
        <v>1784</v>
      </c>
      <c r="DK1" t="s">
        <v>1785</v>
      </c>
      <c r="DL1" t="s">
        <v>1786</v>
      </c>
      <c r="DM1" t="s">
        <v>1787</v>
      </c>
      <c r="DN1" t="s">
        <v>1788</v>
      </c>
      <c r="DO1" t="s">
        <v>1789</v>
      </c>
      <c r="DP1" t="s">
        <v>1790</v>
      </c>
      <c r="DQ1" t="s">
        <v>1791</v>
      </c>
      <c r="DR1" t="s">
        <v>1792</v>
      </c>
      <c r="DS1" t="s">
        <v>1793</v>
      </c>
      <c r="DT1" t="s">
        <v>1794</v>
      </c>
      <c r="DU1" t="s">
        <v>1795</v>
      </c>
      <c r="DV1" t="s">
        <v>1796</v>
      </c>
      <c r="DW1" t="s">
        <v>1797</v>
      </c>
      <c r="DX1" t="s">
        <v>1798</v>
      </c>
      <c r="DY1" t="s">
        <v>1799</v>
      </c>
      <c r="DZ1" t="s">
        <v>1800</v>
      </c>
      <c r="EA1" t="s">
        <v>1801</v>
      </c>
      <c r="EB1" t="s">
        <v>1802</v>
      </c>
      <c r="EC1" t="s">
        <v>1803</v>
      </c>
      <c r="ED1" t="s">
        <v>1804</v>
      </c>
      <c r="EE1" t="s">
        <v>1805</v>
      </c>
      <c r="EF1" t="s">
        <v>1806</v>
      </c>
      <c r="EG1" t="s">
        <v>1807</v>
      </c>
      <c r="EH1" t="s">
        <v>1808</v>
      </c>
      <c r="EI1" t="s">
        <v>1809</v>
      </c>
      <c r="EJ1" t="s">
        <v>1810</v>
      </c>
      <c r="EK1" t="s">
        <v>1811</v>
      </c>
      <c r="EL1" t="s">
        <v>1812</v>
      </c>
      <c r="EM1" t="s">
        <v>1813</v>
      </c>
      <c r="EN1" t="s">
        <v>1814</v>
      </c>
      <c r="EO1" t="s">
        <v>1815</v>
      </c>
      <c r="EP1" t="s">
        <v>1816</v>
      </c>
      <c r="EQ1" t="s">
        <v>1817</v>
      </c>
      <c r="ER1" t="s">
        <v>1818</v>
      </c>
      <c r="ES1" t="s">
        <v>1819</v>
      </c>
      <c r="ET1" t="s">
        <v>1820</v>
      </c>
      <c r="EU1" t="s">
        <v>1821</v>
      </c>
      <c r="EV1" t="s">
        <v>1822</v>
      </c>
      <c r="EW1" t="s">
        <v>1823</v>
      </c>
      <c r="EX1" t="s">
        <v>1824</v>
      </c>
      <c r="EY1" s="1" t="s">
        <v>1825</v>
      </c>
    </row>
    <row r="2" spans="1:155" x14ac:dyDescent="0.3">
      <c r="A2" t="s">
        <v>1375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0.42130693549352</v>
      </c>
      <c r="DY2">
        <v>0.79095254231105605</v>
      </c>
      <c r="DZ2">
        <v>31172.696310518098</v>
      </c>
      <c r="EA2">
        <v>0</v>
      </c>
      <c r="EB2">
        <v>0</v>
      </c>
      <c r="EC2">
        <v>0</v>
      </c>
      <c r="ED2">
        <v>0</v>
      </c>
      <c r="EE2">
        <v>0</v>
      </c>
      <c r="EF2">
        <v>0</v>
      </c>
      <c r="EG2">
        <v>0</v>
      </c>
      <c r="EH2">
        <v>0</v>
      </c>
      <c r="EI2">
        <v>0</v>
      </c>
      <c r="EJ2">
        <v>0</v>
      </c>
      <c r="EK2">
        <v>0</v>
      </c>
      <c r="EL2">
        <v>0</v>
      </c>
      <c r="EM2">
        <v>0.52920108844032798</v>
      </c>
      <c r="EN2">
        <v>0.98559777336594201</v>
      </c>
      <c r="EO2">
        <v>15829.733933575</v>
      </c>
      <c r="EP2">
        <v>0</v>
      </c>
      <c r="EQ2">
        <v>0</v>
      </c>
      <c r="ER2">
        <v>0</v>
      </c>
      <c r="ES2">
        <v>0</v>
      </c>
      <c r="ET2">
        <v>0</v>
      </c>
      <c r="EU2">
        <v>0</v>
      </c>
      <c r="EV2">
        <v>0</v>
      </c>
      <c r="EW2">
        <v>0</v>
      </c>
      <c r="EX2">
        <v>0</v>
      </c>
      <c r="EY2">
        <f t="shared" ref="EY2:EY49" si="0">51-(COUNTIF(B2:EX2,0)/3)</f>
        <v>2</v>
      </c>
    </row>
    <row r="3" spans="1:155" x14ac:dyDescent="0.3">
      <c r="A3" t="s">
        <v>1333</v>
      </c>
      <c r="B3">
        <v>0</v>
      </c>
      <c r="C3">
        <v>0</v>
      </c>
      <c r="D3">
        <v>0</v>
      </c>
      <c r="E3">
        <v>0</v>
      </c>
      <c r="F3">
        <v>0</v>
      </c>
      <c r="G3">
        <v>0</v>
      </c>
      <c r="H3">
        <v>0</v>
      </c>
      <c r="I3">
        <v>0</v>
      </c>
      <c r="J3">
        <v>0</v>
      </c>
      <c r="K3">
        <v>0</v>
      </c>
      <c r="L3">
        <v>0</v>
      </c>
      <c r="M3">
        <v>0</v>
      </c>
      <c r="N3">
        <v>0</v>
      </c>
      <c r="O3">
        <v>0</v>
      </c>
      <c r="P3">
        <v>0</v>
      </c>
      <c r="Q3">
        <v>0</v>
      </c>
      <c r="R3">
        <v>0</v>
      </c>
      <c r="S3">
        <v>0</v>
      </c>
      <c r="T3">
        <v>0.14408012042760099</v>
      </c>
      <c r="U3">
        <v>0.61226540101288496</v>
      </c>
      <c r="V3">
        <v>83.449598632196896</v>
      </c>
      <c r="W3">
        <v>0.34808336965757403</v>
      </c>
      <c r="X3">
        <v>0.84856975865481399</v>
      </c>
      <c r="Y3">
        <v>10078.5154741319</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0.35427943013693802</v>
      </c>
      <c r="BQ3">
        <v>0.81007579351456405</v>
      </c>
      <c r="BR3">
        <v>4091.06507087408</v>
      </c>
      <c r="BS3">
        <v>0</v>
      </c>
      <c r="BT3">
        <v>0</v>
      </c>
      <c r="BU3">
        <v>0</v>
      </c>
      <c r="BV3">
        <v>0</v>
      </c>
      <c r="BW3">
        <v>0</v>
      </c>
      <c r="BX3">
        <v>0</v>
      </c>
      <c r="BY3">
        <v>0</v>
      </c>
      <c r="BZ3">
        <v>0</v>
      </c>
      <c r="CA3">
        <v>0</v>
      </c>
      <c r="CB3">
        <v>0</v>
      </c>
      <c r="CC3">
        <v>0</v>
      </c>
      <c r="CD3">
        <v>0</v>
      </c>
      <c r="CE3">
        <v>0.342486196555425</v>
      </c>
      <c r="CF3">
        <v>0.78888571296677901</v>
      </c>
      <c r="CG3">
        <v>8518.2842341826799</v>
      </c>
      <c r="CH3">
        <v>0</v>
      </c>
      <c r="CI3">
        <v>0</v>
      </c>
      <c r="CJ3">
        <v>0</v>
      </c>
      <c r="CK3">
        <v>0</v>
      </c>
      <c r="CL3">
        <v>0</v>
      </c>
      <c r="CM3">
        <v>0</v>
      </c>
      <c r="CN3">
        <v>0</v>
      </c>
      <c r="CO3">
        <v>0</v>
      </c>
      <c r="CP3">
        <v>0</v>
      </c>
      <c r="CQ3">
        <v>0</v>
      </c>
      <c r="CR3">
        <v>0</v>
      </c>
      <c r="CS3">
        <v>0</v>
      </c>
      <c r="CT3">
        <v>0</v>
      </c>
      <c r="CU3">
        <v>0</v>
      </c>
      <c r="CV3">
        <v>0</v>
      </c>
      <c r="CW3">
        <v>0.35896019703980703</v>
      </c>
      <c r="CX3">
        <v>0.841136380449097</v>
      </c>
      <c r="CY3">
        <v>11192.961627811301</v>
      </c>
      <c r="CZ3">
        <v>0</v>
      </c>
      <c r="DA3">
        <v>0</v>
      </c>
      <c r="DB3">
        <v>0</v>
      </c>
      <c r="DC3">
        <v>0</v>
      </c>
      <c r="DD3">
        <v>0</v>
      </c>
      <c r="DE3">
        <v>0</v>
      </c>
      <c r="DF3">
        <v>0</v>
      </c>
      <c r="DG3">
        <v>0</v>
      </c>
      <c r="DH3">
        <v>0</v>
      </c>
      <c r="DI3">
        <v>0</v>
      </c>
      <c r="DJ3">
        <v>0</v>
      </c>
      <c r="DK3">
        <v>0</v>
      </c>
      <c r="DL3">
        <v>0.383307142358151</v>
      </c>
      <c r="DM3">
        <v>0.88188781153457196</v>
      </c>
      <c r="DN3">
        <v>642.59747145978702</v>
      </c>
      <c r="DO3">
        <v>0</v>
      </c>
      <c r="DP3">
        <v>0</v>
      </c>
      <c r="DQ3">
        <v>0</v>
      </c>
      <c r="DR3">
        <v>0</v>
      </c>
      <c r="DS3">
        <v>0</v>
      </c>
      <c r="DT3">
        <v>0</v>
      </c>
      <c r="DU3">
        <v>0</v>
      </c>
      <c r="DV3">
        <v>0</v>
      </c>
      <c r="DW3">
        <v>0</v>
      </c>
      <c r="DX3">
        <v>0.34453948326192202</v>
      </c>
      <c r="DY3">
        <v>0.86160821819884703</v>
      </c>
      <c r="DZ3">
        <v>27361.7472647625</v>
      </c>
      <c r="EA3">
        <v>0.228297745179418</v>
      </c>
      <c r="EB3">
        <v>0.71325256901339396</v>
      </c>
      <c r="EC3">
        <v>744.06700614353895</v>
      </c>
      <c r="ED3">
        <v>0.35309870017846701</v>
      </c>
      <c r="EE3">
        <v>0.997602687472399</v>
      </c>
      <c r="EF3">
        <v>4296.3642403641497</v>
      </c>
      <c r="EG3">
        <v>0</v>
      </c>
      <c r="EH3">
        <v>0</v>
      </c>
      <c r="EI3">
        <v>0</v>
      </c>
      <c r="EJ3">
        <v>0</v>
      </c>
      <c r="EK3">
        <v>0</v>
      </c>
      <c r="EL3">
        <v>0</v>
      </c>
      <c r="EM3">
        <v>0</v>
      </c>
      <c r="EN3">
        <v>0</v>
      </c>
      <c r="EO3">
        <v>0</v>
      </c>
      <c r="EP3">
        <v>0</v>
      </c>
      <c r="EQ3">
        <v>0</v>
      </c>
      <c r="ER3">
        <v>0</v>
      </c>
      <c r="ES3">
        <v>0</v>
      </c>
      <c r="ET3">
        <v>0</v>
      </c>
      <c r="EU3">
        <v>0</v>
      </c>
      <c r="EV3">
        <v>0</v>
      </c>
      <c r="EW3">
        <v>0</v>
      </c>
      <c r="EX3">
        <v>0</v>
      </c>
      <c r="EY3">
        <f t="shared" si="0"/>
        <v>9</v>
      </c>
    </row>
    <row r="4" spans="1:155" x14ac:dyDescent="0.3">
      <c r="A4" t="s">
        <v>1345</v>
      </c>
      <c r="B4">
        <v>0</v>
      </c>
      <c r="C4">
        <v>0</v>
      </c>
      <c r="D4">
        <v>0</v>
      </c>
      <c r="E4">
        <v>0</v>
      </c>
      <c r="F4">
        <v>0</v>
      </c>
      <c r="G4">
        <v>0</v>
      </c>
      <c r="H4">
        <v>0</v>
      </c>
      <c r="I4">
        <v>0</v>
      </c>
      <c r="J4">
        <v>0</v>
      </c>
      <c r="K4">
        <v>0.57752081436480796</v>
      </c>
      <c r="L4">
        <v>0.99341101794342002</v>
      </c>
      <c r="M4">
        <v>1048.0363002998099</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0.43438621533134097</v>
      </c>
      <c r="AP4">
        <v>0.99851722017066202</v>
      </c>
      <c r="AQ4">
        <v>12252.324549102599</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0.57752081436480796</v>
      </c>
      <c r="DY4">
        <v>0.99341101794342002</v>
      </c>
      <c r="DZ4">
        <v>1048.0363002998099</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f t="shared" si="0"/>
        <v>3</v>
      </c>
    </row>
    <row r="5" spans="1:155" x14ac:dyDescent="0.3">
      <c r="A5" t="s">
        <v>1348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0.33501949097267197</v>
      </c>
      <c r="DJ5">
        <v>0.89148435627820599</v>
      </c>
      <c r="DK5">
        <v>8277.2027876636002</v>
      </c>
      <c r="DL5">
        <v>0</v>
      </c>
      <c r="DM5">
        <v>0</v>
      </c>
      <c r="DN5">
        <v>0</v>
      </c>
      <c r="DO5">
        <v>0</v>
      </c>
      <c r="DP5">
        <v>0</v>
      </c>
      <c r="DQ5">
        <v>0</v>
      </c>
      <c r="DR5">
        <v>0</v>
      </c>
      <c r="DS5">
        <v>0</v>
      </c>
      <c r="DT5">
        <v>0</v>
      </c>
      <c r="DU5">
        <v>0</v>
      </c>
      <c r="DV5">
        <v>0</v>
      </c>
      <c r="DW5">
        <v>0</v>
      </c>
      <c r="DX5">
        <v>0.348685285929214</v>
      </c>
      <c r="DY5">
        <v>0.94674446336923301</v>
      </c>
      <c r="DZ5">
        <v>6039.0200513939899</v>
      </c>
      <c r="EA5">
        <v>0.28337281122012298</v>
      </c>
      <c r="EB5">
        <v>0.78507109246044404</v>
      </c>
      <c r="EC5">
        <v>25.341861027127202</v>
      </c>
      <c r="ED5">
        <v>0</v>
      </c>
      <c r="EE5">
        <v>0</v>
      </c>
      <c r="EF5">
        <v>0</v>
      </c>
      <c r="EG5">
        <v>0</v>
      </c>
      <c r="EH5">
        <v>0</v>
      </c>
      <c r="EI5">
        <v>0</v>
      </c>
      <c r="EJ5">
        <v>0.31105360366657803</v>
      </c>
      <c r="EK5">
        <v>0.80025575451294095</v>
      </c>
      <c r="EL5">
        <v>5272.1435807970902</v>
      </c>
      <c r="EM5">
        <v>0</v>
      </c>
      <c r="EN5">
        <v>0</v>
      </c>
      <c r="EO5">
        <v>0</v>
      </c>
      <c r="EP5">
        <v>0</v>
      </c>
      <c r="EQ5">
        <v>0</v>
      </c>
      <c r="ER5">
        <v>0</v>
      </c>
      <c r="ES5">
        <v>0</v>
      </c>
      <c r="ET5">
        <v>0</v>
      </c>
      <c r="EU5">
        <v>0</v>
      </c>
      <c r="EV5">
        <v>0</v>
      </c>
      <c r="EW5">
        <v>0</v>
      </c>
      <c r="EX5">
        <v>0</v>
      </c>
      <c r="EY5">
        <f t="shared" si="0"/>
        <v>4</v>
      </c>
    </row>
    <row r="6" spans="1:155" x14ac:dyDescent="0.3">
      <c r="A6" t="s">
        <v>1340</v>
      </c>
      <c r="B6">
        <v>0</v>
      </c>
      <c r="C6">
        <v>0</v>
      </c>
      <c r="D6">
        <v>0</v>
      </c>
      <c r="E6">
        <v>0.25112687533773598</v>
      </c>
      <c r="F6">
        <v>1</v>
      </c>
      <c r="G6">
        <v>8.4832766546970806</v>
      </c>
      <c r="H6">
        <v>0</v>
      </c>
      <c r="I6">
        <v>0</v>
      </c>
      <c r="J6">
        <v>0</v>
      </c>
      <c r="K6">
        <v>0</v>
      </c>
      <c r="L6">
        <v>0</v>
      </c>
      <c r="M6">
        <v>0</v>
      </c>
      <c r="N6">
        <v>0.44786196316108301</v>
      </c>
      <c r="O6">
        <v>0.996902677625082</v>
      </c>
      <c r="P6">
        <v>9434.3304229881396</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0.45290735679878202</v>
      </c>
      <c r="CC6">
        <v>0.99889807579621803</v>
      </c>
      <c r="CD6">
        <v>3757.5721321644401</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0.42067814757091199</v>
      </c>
      <c r="DY6">
        <v>0.99861865669479699</v>
      </c>
      <c r="DZ6">
        <v>9096.3833505977891</v>
      </c>
      <c r="EA6">
        <v>0</v>
      </c>
      <c r="EB6">
        <v>0</v>
      </c>
      <c r="EC6">
        <v>0</v>
      </c>
      <c r="ED6">
        <v>0</v>
      </c>
      <c r="EE6">
        <v>0</v>
      </c>
      <c r="EF6">
        <v>0</v>
      </c>
      <c r="EG6">
        <v>0</v>
      </c>
      <c r="EH6">
        <v>0</v>
      </c>
      <c r="EI6">
        <v>0</v>
      </c>
      <c r="EJ6">
        <v>0</v>
      </c>
      <c r="EK6">
        <v>0</v>
      </c>
      <c r="EL6">
        <v>0</v>
      </c>
      <c r="EM6">
        <v>0</v>
      </c>
      <c r="EN6">
        <v>0</v>
      </c>
      <c r="EO6">
        <v>0</v>
      </c>
      <c r="EP6">
        <v>0</v>
      </c>
      <c r="EQ6">
        <v>0</v>
      </c>
      <c r="ER6">
        <v>0</v>
      </c>
      <c r="ES6">
        <v>0.45218113177622898</v>
      </c>
      <c r="ET6">
        <v>0.99891294339297898</v>
      </c>
      <c r="EU6">
        <v>3570.08608521723</v>
      </c>
      <c r="EV6">
        <v>0</v>
      </c>
      <c r="EW6">
        <v>0</v>
      </c>
      <c r="EX6">
        <v>0</v>
      </c>
      <c r="EY6">
        <f t="shared" si="0"/>
        <v>5</v>
      </c>
    </row>
    <row r="7" spans="1:155" x14ac:dyDescent="0.3">
      <c r="A7" t="s">
        <v>1343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0.52322609124575303</v>
      </c>
      <c r="DG7">
        <v>0.99109716363679201</v>
      </c>
      <c r="DH7">
        <v>3430.1730816025301</v>
      </c>
      <c r="DI7">
        <v>0.49348231354773803</v>
      </c>
      <c r="DJ7">
        <v>0.99705012994301301</v>
      </c>
      <c r="DK7">
        <v>1936.82687320687</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f t="shared" si="0"/>
        <v>2</v>
      </c>
    </row>
    <row r="8" spans="1:155" x14ac:dyDescent="0.3">
      <c r="A8" t="s">
        <v>1369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0.372125819672042</v>
      </c>
      <c r="AG8">
        <v>0.77982295002343205</v>
      </c>
      <c r="AH8">
        <v>5598.3317584337201</v>
      </c>
      <c r="AI8">
        <v>0</v>
      </c>
      <c r="AJ8">
        <v>0</v>
      </c>
      <c r="AK8">
        <v>0</v>
      </c>
      <c r="AL8">
        <v>0</v>
      </c>
      <c r="AM8">
        <v>0</v>
      </c>
      <c r="AN8">
        <v>0</v>
      </c>
      <c r="AO8">
        <v>0</v>
      </c>
      <c r="AP8">
        <v>0</v>
      </c>
      <c r="AQ8">
        <v>0</v>
      </c>
      <c r="AR8">
        <v>0</v>
      </c>
      <c r="AS8">
        <v>0</v>
      </c>
      <c r="AT8">
        <v>0</v>
      </c>
      <c r="AU8">
        <v>0.35721508983836597</v>
      </c>
      <c r="AV8">
        <v>0.83255049831666805</v>
      </c>
      <c r="AW8">
        <v>6596.1750942506496</v>
      </c>
      <c r="AX8">
        <v>0</v>
      </c>
      <c r="AY8">
        <v>0</v>
      </c>
      <c r="AZ8">
        <v>0</v>
      </c>
      <c r="BA8">
        <v>0</v>
      </c>
      <c r="BB8">
        <v>0</v>
      </c>
      <c r="BC8">
        <v>0</v>
      </c>
      <c r="BD8">
        <v>0.37458727854242901</v>
      </c>
      <c r="BE8">
        <v>0.90476171314242104</v>
      </c>
      <c r="BF8">
        <v>15404.7921075923</v>
      </c>
      <c r="BG8">
        <v>0.38397436816057701</v>
      </c>
      <c r="BH8">
        <v>0.75702549482145598</v>
      </c>
      <c r="BI8">
        <v>407.03166772852597</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0.386666770462048</v>
      </c>
      <c r="DY8">
        <v>0.89997868852526097</v>
      </c>
      <c r="DZ8">
        <v>20154.786709230699</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f t="shared" si="0"/>
        <v>5</v>
      </c>
    </row>
    <row r="9" spans="1:155" x14ac:dyDescent="0.3">
      <c r="A9" t="s">
        <v>1826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0.28827516516908902</v>
      </c>
      <c r="AV9">
        <v>0.92686491694576201</v>
      </c>
      <c r="AW9">
        <v>4357.9121523043405</v>
      </c>
      <c r="AX9">
        <v>0</v>
      </c>
      <c r="AY9">
        <v>0</v>
      </c>
      <c r="AZ9">
        <v>0</v>
      </c>
      <c r="BA9">
        <v>0</v>
      </c>
      <c r="BB9">
        <v>0</v>
      </c>
      <c r="BC9">
        <v>0</v>
      </c>
      <c r="BD9">
        <v>0.20010657426178199</v>
      </c>
      <c r="BE9">
        <v>0.94826953097979205</v>
      </c>
      <c r="BF9">
        <v>107.34682526340301</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0.306022297718056</v>
      </c>
      <c r="DG9">
        <v>0.85710991303084305</v>
      </c>
      <c r="DH9">
        <v>5380.3515050532096</v>
      </c>
      <c r="DI9">
        <v>0</v>
      </c>
      <c r="DJ9">
        <v>0</v>
      </c>
      <c r="DK9">
        <v>0</v>
      </c>
      <c r="DL9">
        <v>0</v>
      </c>
      <c r="DM9">
        <v>0</v>
      </c>
      <c r="DN9">
        <v>0</v>
      </c>
      <c r="DO9">
        <v>0</v>
      </c>
      <c r="DP9">
        <v>0</v>
      </c>
      <c r="DQ9">
        <v>0</v>
      </c>
      <c r="DR9">
        <v>0</v>
      </c>
      <c r="DS9">
        <v>0</v>
      </c>
      <c r="DT9">
        <v>0</v>
      </c>
      <c r="DU9">
        <v>0</v>
      </c>
      <c r="DV9">
        <v>0</v>
      </c>
      <c r="DW9">
        <v>0</v>
      </c>
      <c r="DX9">
        <v>0.303959547701389</v>
      </c>
      <c r="DY9">
        <v>0.849699832157783</v>
      </c>
      <c r="DZ9">
        <v>6961.83671387902</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f t="shared" si="0"/>
        <v>4</v>
      </c>
    </row>
    <row r="10" spans="1:155" x14ac:dyDescent="0.3">
      <c r="A10" t="s">
        <v>1461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0.33613365809946399</v>
      </c>
      <c r="BE10">
        <v>0.99854087005951897</v>
      </c>
      <c r="BF10">
        <v>883.60104292035601</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0.33611713960360801</v>
      </c>
      <c r="DY10">
        <v>0.81978880845195801</v>
      </c>
      <c r="DZ10">
        <v>20800.595253899999</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f t="shared" si="0"/>
        <v>2</v>
      </c>
    </row>
    <row r="11" spans="1:155" x14ac:dyDescent="0.3">
      <c r="A11" t="s">
        <v>1827</v>
      </c>
      <c r="B11">
        <v>0</v>
      </c>
      <c r="C11">
        <v>0</v>
      </c>
      <c r="D11">
        <v>0</v>
      </c>
      <c r="E11">
        <v>0.39612954508986897</v>
      </c>
      <c r="F11">
        <v>0.99464709247741101</v>
      </c>
      <c r="G11">
        <v>7828.6250659399102</v>
      </c>
      <c r="H11">
        <v>0</v>
      </c>
      <c r="I11">
        <v>0</v>
      </c>
      <c r="J11">
        <v>0</v>
      </c>
      <c r="K11">
        <v>0.51769958586074705</v>
      </c>
      <c r="L11">
        <v>0.963652533040259</v>
      </c>
      <c r="M11">
        <v>2108.1962344091598</v>
      </c>
      <c r="N11">
        <v>0.42011969695469698</v>
      </c>
      <c r="O11">
        <v>0.99361658256319996</v>
      </c>
      <c r="P11">
        <v>11280.1452257363</v>
      </c>
      <c r="Q11">
        <v>0</v>
      </c>
      <c r="R11">
        <v>0</v>
      </c>
      <c r="S11">
        <v>0</v>
      </c>
      <c r="T11">
        <v>0</v>
      </c>
      <c r="U11">
        <v>0</v>
      </c>
      <c r="V11">
        <v>0</v>
      </c>
      <c r="W11">
        <v>0</v>
      </c>
      <c r="X11">
        <v>0</v>
      </c>
      <c r="Y11">
        <v>0</v>
      </c>
      <c r="Z11">
        <v>0.36197142673967098</v>
      </c>
      <c r="AA11">
        <v>0.98846460361442701</v>
      </c>
      <c r="AB11">
        <v>7318.0843832550599</v>
      </c>
      <c r="AC11">
        <v>0</v>
      </c>
      <c r="AD11">
        <v>0</v>
      </c>
      <c r="AE11">
        <v>0</v>
      </c>
      <c r="AF11">
        <v>0</v>
      </c>
      <c r="AG11">
        <v>0</v>
      </c>
      <c r="AH11">
        <v>0</v>
      </c>
      <c r="AI11">
        <v>0</v>
      </c>
      <c r="AJ11">
        <v>0</v>
      </c>
      <c r="AK11">
        <v>0</v>
      </c>
      <c r="AL11">
        <v>0</v>
      </c>
      <c r="AM11">
        <v>0</v>
      </c>
      <c r="AN11">
        <v>0</v>
      </c>
      <c r="AO11">
        <v>0</v>
      </c>
      <c r="AP11">
        <v>0</v>
      </c>
      <c r="AQ11">
        <v>0</v>
      </c>
      <c r="AR11">
        <v>0.442920267720602</v>
      </c>
      <c r="AS11">
        <v>0.98456317728129294</v>
      </c>
      <c r="AT11">
        <v>4413.2329834418097</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0.451850204623026</v>
      </c>
      <c r="DY11">
        <v>0.97754100472066496</v>
      </c>
      <c r="DZ11">
        <v>6091.90141915599</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f t="shared" si="0"/>
        <v>6</v>
      </c>
    </row>
    <row r="12" spans="1:155" x14ac:dyDescent="0.3">
      <c r="A12" t="s">
        <v>1828</v>
      </c>
      <c r="B12">
        <v>0</v>
      </c>
      <c r="C12">
        <v>0</v>
      </c>
      <c r="D12">
        <v>0</v>
      </c>
      <c r="E12">
        <v>0</v>
      </c>
      <c r="F12">
        <v>0</v>
      </c>
      <c r="G12">
        <v>0</v>
      </c>
      <c r="H12">
        <v>0</v>
      </c>
      <c r="I12">
        <v>0</v>
      </c>
      <c r="J12">
        <v>0</v>
      </c>
      <c r="K12">
        <v>0</v>
      </c>
      <c r="L12">
        <v>0</v>
      </c>
      <c r="M12">
        <v>0</v>
      </c>
      <c r="N12">
        <v>0</v>
      </c>
      <c r="O12">
        <v>0</v>
      </c>
      <c r="P12">
        <v>0</v>
      </c>
      <c r="Q12">
        <v>0</v>
      </c>
      <c r="R12">
        <v>0</v>
      </c>
      <c r="S12">
        <v>0</v>
      </c>
      <c r="T12">
        <v>0.40479118378210699</v>
      </c>
      <c r="U12">
        <v>0.949574429059448</v>
      </c>
      <c r="V12">
        <v>5076.8871297637997</v>
      </c>
      <c r="W12">
        <v>0.24233076972524001</v>
      </c>
      <c r="X12">
        <v>0.76750171342268503</v>
      </c>
      <c r="Y12">
        <v>142.02138388376201</v>
      </c>
      <c r="Z12">
        <v>0</v>
      </c>
      <c r="AA12">
        <v>0</v>
      </c>
      <c r="AB12">
        <v>0</v>
      </c>
      <c r="AC12">
        <v>0</v>
      </c>
      <c r="AD12">
        <v>0</v>
      </c>
      <c r="AE12">
        <v>0</v>
      </c>
      <c r="AF12">
        <v>0.882651556755773</v>
      </c>
      <c r="AG12">
        <v>0.99967327098768199</v>
      </c>
      <c r="AH12">
        <v>108.736113483643</v>
      </c>
      <c r="AI12">
        <v>0</v>
      </c>
      <c r="AJ12">
        <v>0</v>
      </c>
      <c r="AK12">
        <v>0</v>
      </c>
      <c r="AL12">
        <v>0</v>
      </c>
      <c r="AM12">
        <v>0</v>
      </c>
      <c r="AN12">
        <v>0</v>
      </c>
      <c r="AO12">
        <v>0</v>
      </c>
      <c r="AP12">
        <v>0</v>
      </c>
      <c r="AQ12">
        <v>0</v>
      </c>
      <c r="AR12">
        <v>0</v>
      </c>
      <c r="AS12">
        <v>0</v>
      </c>
      <c r="AT12">
        <v>0</v>
      </c>
      <c r="AU12">
        <v>0.31922550269552602</v>
      </c>
      <c r="AV12">
        <v>0.99233764315419504</v>
      </c>
      <c r="AW12">
        <v>55.328248241458397</v>
      </c>
      <c r="AX12">
        <v>0</v>
      </c>
      <c r="AY12">
        <v>0</v>
      </c>
      <c r="AZ12">
        <v>0</v>
      </c>
      <c r="BA12">
        <v>0.12832019751725501</v>
      </c>
      <c r="BB12">
        <v>0.57677063305346199</v>
      </c>
      <c r="BC12">
        <v>17.975097054660498</v>
      </c>
      <c r="BD12">
        <v>0</v>
      </c>
      <c r="BE12">
        <v>0</v>
      </c>
      <c r="BF12">
        <v>0</v>
      </c>
      <c r="BG12">
        <v>0</v>
      </c>
      <c r="BH12">
        <v>0</v>
      </c>
      <c r="BI12">
        <v>0</v>
      </c>
      <c r="BJ12">
        <v>0</v>
      </c>
      <c r="BK12">
        <v>0</v>
      </c>
      <c r="BL12">
        <v>0</v>
      </c>
      <c r="BM12">
        <v>0.52164527320939702</v>
      </c>
      <c r="BN12">
        <v>0.94059379816912903</v>
      </c>
      <c r="BO12">
        <v>250.08006440270501</v>
      </c>
      <c r="BP12">
        <v>0.40480268677405101</v>
      </c>
      <c r="BQ12">
        <v>0.92480004180762299</v>
      </c>
      <c r="BR12">
        <v>2518.6557601551799</v>
      </c>
      <c r="BS12">
        <v>0</v>
      </c>
      <c r="BT12">
        <v>0</v>
      </c>
      <c r="BU12">
        <v>0</v>
      </c>
      <c r="BV12">
        <v>0</v>
      </c>
      <c r="BW12">
        <v>0</v>
      </c>
      <c r="BX12">
        <v>0</v>
      </c>
      <c r="BY12">
        <v>0</v>
      </c>
      <c r="BZ12">
        <v>0</v>
      </c>
      <c r="CA12">
        <v>0</v>
      </c>
      <c r="CB12">
        <v>0</v>
      </c>
      <c r="CC12">
        <v>0</v>
      </c>
      <c r="CD12">
        <v>0</v>
      </c>
      <c r="CE12">
        <v>0.28538731450362098</v>
      </c>
      <c r="CF12">
        <v>0.87654051190363702</v>
      </c>
      <c r="CG12">
        <v>1004.26582583676</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0.42038053894281902</v>
      </c>
      <c r="DG12">
        <v>0.77906574873376</v>
      </c>
      <c r="DH12">
        <v>18734.130043804998</v>
      </c>
      <c r="DI12">
        <v>0.43945173426781198</v>
      </c>
      <c r="DJ12">
        <v>0.90715517150317904</v>
      </c>
      <c r="DK12">
        <v>2435.4251527265001</v>
      </c>
      <c r="DL12">
        <v>0.56576358614392597</v>
      </c>
      <c r="DM12">
        <v>0.95687789512541299</v>
      </c>
      <c r="DN12">
        <v>190.267125571196</v>
      </c>
      <c r="DO12">
        <v>0</v>
      </c>
      <c r="DP12">
        <v>0</v>
      </c>
      <c r="DQ12">
        <v>0</v>
      </c>
      <c r="DR12">
        <v>0</v>
      </c>
      <c r="DS12">
        <v>0</v>
      </c>
      <c r="DT12">
        <v>0</v>
      </c>
      <c r="DU12">
        <v>0</v>
      </c>
      <c r="DV12">
        <v>0</v>
      </c>
      <c r="DW12">
        <v>0</v>
      </c>
      <c r="DX12">
        <v>0.37611103177847699</v>
      </c>
      <c r="DY12">
        <v>0.79753872260677605</v>
      </c>
      <c r="DZ12">
        <v>26354.308336519502</v>
      </c>
      <c r="EA12">
        <v>0.44372600156891201</v>
      </c>
      <c r="EB12">
        <v>0.90643709700210995</v>
      </c>
      <c r="EC12">
        <v>1678.2256601941299</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f t="shared" si="0"/>
        <v>13</v>
      </c>
    </row>
    <row r="13" spans="1:155" x14ac:dyDescent="0.3">
      <c r="A13" t="s">
        <v>1373</v>
      </c>
      <c r="B13">
        <v>0.103000248834685</v>
      </c>
      <c r="C13">
        <v>0.19219144405770899</v>
      </c>
      <c r="D13">
        <v>1.20157398909659</v>
      </c>
      <c r="E13">
        <v>0</v>
      </c>
      <c r="F13">
        <v>0</v>
      </c>
      <c r="G13">
        <v>0</v>
      </c>
      <c r="H13">
        <v>0.43299690840638799</v>
      </c>
      <c r="I13">
        <v>0.79411588243061304</v>
      </c>
      <c r="J13">
        <v>933.12205349385295</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0.34502326042070203</v>
      </c>
      <c r="DY13">
        <v>0.715959316286918</v>
      </c>
      <c r="DZ13">
        <v>1352.9070816169501</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f t="shared" si="0"/>
        <v>3</v>
      </c>
    </row>
    <row r="14" spans="1:155" x14ac:dyDescent="0.3">
      <c r="A14" t="s">
        <v>1530</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0.45712982002872099</v>
      </c>
      <c r="DY14">
        <v>0.83245872552530897</v>
      </c>
      <c r="DZ14">
        <v>18410.665012642799</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f t="shared" si="0"/>
        <v>1</v>
      </c>
    </row>
    <row r="15" spans="1:155" x14ac:dyDescent="0.3">
      <c r="A15" t="s">
        <v>1829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0.38201356757399002</v>
      </c>
      <c r="BH15">
        <v>0.85416016727341404</v>
      </c>
      <c r="BI15">
        <v>522.90980133548499</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f t="shared" si="0"/>
        <v>1</v>
      </c>
    </row>
    <row r="16" spans="1:155" x14ac:dyDescent="0.3">
      <c r="A16" t="s">
        <v>1830</v>
      </c>
      <c r="B16">
        <v>0.33249718357574198</v>
      </c>
      <c r="C16">
        <v>0.67744087043481505</v>
      </c>
      <c r="D16">
        <v>406.95953799238703</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f t="shared" si="0"/>
        <v>1</v>
      </c>
    </row>
    <row r="17" spans="1:155" x14ac:dyDescent="0.3">
      <c r="A17" t="s">
        <v>1379</v>
      </c>
      <c r="B17">
        <v>0.37425775247746301</v>
      </c>
      <c r="C17">
        <v>0.87782586944116303</v>
      </c>
      <c r="D17">
        <v>7038.9862128022496</v>
      </c>
      <c r="E17">
        <v>0</v>
      </c>
      <c r="F17">
        <v>0</v>
      </c>
      <c r="G17">
        <v>0</v>
      </c>
      <c r="H17">
        <v>0.44182831069692302</v>
      </c>
      <c r="I17">
        <v>0.93167659265073399</v>
      </c>
      <c r="J17">
        <v>9377.9029416963403</v>
      </c>
      <c r="K17">
        <v>0</v>
      </c>
      <c r="L17">
        <v>0</v>
      </c>
      <c r="M17">
        <v>0</v>
      </c>
      <c r="N17">
        <v>0</v>
      </c>
      <c r="O17">
        <v>0</v>
      </c>
      <c r="P17">
        <v>0</v>
      </c>
      <c r="Q17">
        <v>0.46723123775347303</v>
      </c>
      <c r="R17">
        <v>0.98892127743940905</v>
      </c>
      <c r="S17">
        <v>7925.4979668126398</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0.41905911782503802</v>
      </c>
      <c r="BK17">
        <v>0.97827370695767701</v>
      </c>
      <c r="BL17">
        <v>8418.1214192917305</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0.44223643625402398</v>
      </c>
      <c r="DY17">
        <v>0.95456491877930705</v>
      </c>
      <c r="DZ17">
        <v>23476.293950751398</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f t="shared" si="0"/>
        <v>5</v>
      </c>
    </row>
    <row r="18" spans="1:155" x14ac:dyDescent="0.3">
      <c r="A18" t="s">
        <v>1576</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0.35873696589041498</v>
      </c>
      <c r="BN18">
        <v>0.71301912976637505</v>
      </c>
      <c r="BO18">
        <v>3670.73515526867</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f t="shared" si="0"/>
        <v>1</v>
      </c>
    </row>
    <row r="19" spans="1:155" x14ac:dyDescent="0.3">
      <c r="A19" t="s">
        <v>1831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0.56844341575849</v>
      </c>
      <c r="AS19">
        <v>0.97837529857888705</v>
      </c>
      <c r="AT19">
        <v>735.145510589222</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0.56846244930202505</v>
      </c>
      <c r="DY19">
        <v>0.97837529857888705</v>
      </c>
      <c r="DZ19">
        <v>735.17010095472199</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f t="shared" si="0"/>
        <v>2</v>
      </c>
    </row>
    <row r="20" spans="1:155" x14ac:dyDescent="0.3">
      <c r="A20" t="s">
        <v>1390</v>
      </c>
      <c r="B20">
        <v>0</v>
      </c>
      <c r="C20">
        <v>0</v>
      </c>
      <c r="D20">
        <v>0</v>
      </c>
      <c r="E20">
        <v>0</v>
      </c>
      <c r="F20">
        <v>0</v>
      </c>
      <c r="G20">
        <v>0</v>
      </c>
      <c r="H20">
        <v>0</v>
      </c>
      <c r="I20">
        <v>0</v>
      </c>
      <c r="J20">
        <v>0</v>
      </c>
      <c r="K20">
        <v>0.53077260544150695</v>
      </c>
      <c r="L20">
        <v>0.97411221189181196</v>
      </c>
      <c r="M20">
        <v>5715.36847454075</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0.47570226701266299</v>
      </c>
      <c r="CC20">
        <v>0.99968746390199503</v>
      </c>
      <c r="CD20">
        <v>284.07495624210702</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0.53077260544150695</v>
      </c>
      <c r="DY20">
        <v>0.97411221189181196</v>
      </c>
      <c r="DZ20">
        <v>5715.36847454075</v>
      </c>
      <c r="EA20">
        <v>0</v>
      </c>
      <c r="EB20">
        <v>0</v>
      </c>
      <c r="EC20">
        <v>0</v>
      </c>
      <c r="ED20">
        <v>0</v>
      </c>
      <c r="EE20">
        <v>0</v>
      </c>
      <c r="EF20">
        <v>0</v>
      </c>
      <c r="EG20">
        <v>0</v>
      </c>
      <c r="EH20">
        <v>0</v>
      </c>
      <c r="EI20">
        <v>0</v>
      </c>
      <c r="EJ20">
        <v>0</v>
      </c>
      <c r="EK20">
        <v>0</v>
      </c>
      <c r="EL20">
        <v>0</v>
      </c>
      <c r="EM20">
        <v>0</v>
      </c>
      <c r="EN20">
        <v>0</v>
      </c>
      <c r="EO20">
        <v>0</v>
      </c>
      <c r="EP20">
        <v>0</v>
      </c>
      <c r="EQ20">
        <v>0</v>
      </c>
      <c r="ER20">
        <v>0</v>
      </c>
      <c r="ES20">
        <v>0.43471274235932</v>
      </c>
      <c r="ET20">
        <v>0.98200088723291801</v>
      </c>
      <c r="EU20">
        <v>7766.9616280308001</v>
      </c>
      <c r="EV20">
        <v>0</v>
      </c>
      <c r="EW20">
        <v>0</v>
      </c>
      <c r="EX20">
        <v>0</v>
      </c>
      <c r="EY20">
        <f t="shared" si="0"/>
        <v>4</v>
      </c>
    </row>
    <row r="21" spans="1:155" x14ac:dyDescent="0.3">
      <c r="A21" t="s">
        <v>1398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0.35836898649127602</v>
      </c>
      <c r="AM21">
        <v>0.94847823864567105</v>
      </c>
      <c r="AN21">
        <v>1573.53509975408</v>
      </c>
      <c r="AO21">
        <v>0</v>
      </c>
      <c r="AP21">
        <v>0</v>
      </c>
      <c r="AQ21">
        <v>0</v>
      </c>
      <c r="AR21">
        <v>0.34387129023998603</v>
      </c>
      <c r="AS21">
        <v>0.94826434243792102</v>
      </c>
      <c r="AT21">
        <v>3419.7178447074498</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0.32693375792761797</v>
      </c>
      <c r="DA21">
        <v>0.95192780095743501</v>
      </c>
      <c r="DB21">
        <v>1262.5418697395201</v>
      </c>
      <c r="DC21">
        <v>0.24628014136151999</v>
      </c>
      <c r="DD21">
        <v>0.87669604407194501</v>
      </c>
      <c r="DE21">
        <v>71.678525487413097</v>
      </c>
      <c r="DF21">
        <v>0</v>
      </c>
      <c r="DG21">
        <v>0</v>
      </c>
      <c r="DH21">
        <v>0</v>
      </c>
      <c r="DI21">
        <v>0</v>
      </c>
      <c r="DJ21">
        <v>0</v>
      </c>
      <c r="DK21">
        <v>0</v>
      </c>
      <c r="DL21">
        <v>0</v>
      </c>
      <c r="DM21">
        <v>0</v>
      </c>
      <c r="DN21">
        <v>0</v>
      </c>
      <c r="DO21">
        <v>0</v>
      </c>
      <c r="DP21">
        <v>0</v>
      </c>
      <c r="DQ21">
        <v>0</v>
      </c>
      <c r="DR21">
        <v>0</v>
      </c>
      <c r="DS21">
        <v>0</v>
      </c>
      <c r="DT21">
        <v>0</v>
      </c>
      <c r="DU21">
        <v>0</v>
      </c>
      <c r="DV21">
        <v>0</v>
      </c>
      <c r="DW21">
        <v>0</v>
      </c>
      <c r="DX21">
        <v>0.34386973195301601</v>
      </c>
      <c r="DY21">
        <v>0.94826465085596501</v>
      </c>
      <c r="DZ21">
        <v>3419.7238210134801</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f t="shared" si="0"/>
        <v>5</v>
      </c>
    </row>
    <row r="22" spans="1:155" x14ac:dyDescent="0.3">
      <c r="A22" t="s">
        <v>1401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0.36145981660662102</v>
      </c>
      <c r="AS22">
        <v>0.95207530074170899</v>
      </c>
      <c r="AT22">
        <v>2457.3388395513698</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0.36143769767683598</v>
      </c>
      <c r="DY22">
        <v>0.95205870438665197</v>
      </c>
      <c r="DZ22">
        <v>2457.2840406721002</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f t="shared" si="0"/>
        <v>2</v>
      </c>
    </row>
    <row r="23" spans="1:155" x14ac:dyDescent="0.3">
      <c r="A23" t="s">
        <v>1405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0.33352820423652002</v>
      </c>
      <c r="BK23">
        <v>0.95068427972260605</v>
      </c>
      <c r="BL23">
        <v>24476.649881945901</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0.56093077294677496</v>
      </c>
      <c r="DG23">
        <v>0.99037764849140697</v>
      </c>
      <c r="DH23">
        <v>18318.276195246701</v>
      </c>
      <c r="DI23">
        <v>0</v>
      </c>
      <c r="DJ23">
        <v>0</v>
      </c>
      <c r="DK23">
        <v>0</v>
      </c>
      <c r="DL23">
        <v>0</v>
      </c>
      <c r="DM23">
        <v>0</v>
      </c>
      <c r="DN23">
        <v>0</v>
      </c>
      <c r="DO23">
        <v>0</v>
      </c>
      <c r="DP23">
        <v>0</v>
      </c>
      <c r="DQ23">
        <v>0</v>
      </c>
      <c r="DR23">
        <v>0.45611516273119401</v>
      </c>
      <c r="DS23">
        <v>0.98957069849574197</v>
      </c>
      <c r="DT23">
        <v>10501.1098113563</v>
      </c>
      <c r="DU23">
        <v>0.43599661955293101</v>
      </c>
      <c r="DV23">
        <v>0.97213568645277204</v>
      </c>
      <c r="DW23">
        <v>9965.2825114177595</v>
      </c>
      <c r="DX23">
        <v>0.443436801188061</v>
      </c>
      <c r="DY23">
        <v>0.95832557321276501</v>
      </c>
      <c r="DZ23">
        <v>20980.1277472564</v>
      </c>
      <c r="EA23">
        <v>0</v>
      </c>
      <c r="EB23">
        <v>0</v>
      </c>
      <c r="EC23">
        <v>0</v>
      </c>
      <c r="ED23">
        <v>0</v>
      </c>
      <c r="EE23">
        <v>0</v>
      </c>
      <c r="EF23">
        <v>0</v>
      </c>
      <c r="EG23">
        <v>0.20593615502232299</v>
      </c>
      <c r="EH23">
        <v>1</v>
      </c>
      <c r="EI23">
        <v>0.466283326740284</v>
      </c>
      <c r="EJ23">
        <v>0</v>
      </c>
      <c r="EK23">
        <v>0</v>
      </c>
      <c r="EL23">
        <v>0</v>
      </c>
      <c r="EM23">
        <v>0</v>
      </c>
      <c r="EN23">
        <v>0</v>
      </c>
      <c r="EO23">
        <v>0</v>
      </c>
      <c r="EP23">
        <v>0</v>
      </c>
      <c r="EQ23">
        <v>0</v>
      </c>
      <c r="ER23">
        <v>0</v>
      </c>
      <c r="ES23">
        <v>0</v>
      </c>
      <c r="ET23">
        <v>0</v>
      </c>
      <c r="EU23">
        <v>0</v>
      </c>
      <c r="EV23">
        <v>0</v>
      </c>
      <c r="EW23">
        <v>0</v>
      </c>
      <c r="EX23">
        <v>0</v>
      </c>
      <c r="EY23">
        <f t="shared" si="0"/>
        <v>6</v>
      </c>
    </row>
    <row r="24" spans="1:155" x14ac:dyDescent="0.3">
      <c r="A24" t="s">
        <v>1832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0.55498621840845097</v>
      </c>
      <c r="CL24">
        <v>0.99945558591752304</v>
      </c>
      <c r="CM24">
        <v>1144.8081563214801</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f t="shared" si="0"/>
        <v>1</v>
      </c>
    </row>
    <row r="25" spans="1:155" x14ac:dyDescent="0.3">
      <c r="A25" t="s">
        <v>1418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0.36052055615429301</v>
      </c>
      <c r="AS25">
        <v>0.85869231706670701</v>
      </c>
      <c r="AT25">
        <v>5891.9849452448598</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0.333606112151698</v>
      </c>
      <c r="DD25">
        <v>0.95747080931468898</v>
      </c>
      <c r="DE25">
        <v>2264.6330145991101</v>
      </c>
      <c r="DF25">
        <v>0</v>
      </c>
      <c r="DG25">
        <v>0</v>
      </c>
      <c r="DH25">
        <v>0</v>
      </c>
      <c r="DI25">
        <v>0</v>
      </c>
      <c r="DJ25">
        <v>0</v>
      </c>
      <c r="DK25">
        <v>0</v>
      </c>
      <c r="DL25">
        <v>0</v>
      </c>
      <c r="DM25">
        <v>0</v>
      </c>
      <c r="DN25">
        <v>0</v>
      </c>
      <c r="DO25">
        <v>0</v>
      </c>
      <c r="DP25">
        <v>0</v>
      </c>
      <c r="DQ25">
        <v>0</v>
      </c>
      <c r="DR25">
        <v>0</v>
      </c>
      <c r="DS25">
        <v>0</v>
      </c>
      <c r="DT25">
        <v>0</v>
      </c>
      <c r="DU25">
        <v>0</v>
      </c>
      <c r="DV25">
        <v>0</v>
      </c>
      <c r="DW25">
        <v>0</v>
      </c>
      <c r="DX25">
        <v>0.36052055615429301</v>
      </c>
      <c r="DY25">
        <v>0.85869231706670701</v>
      </c>
      <c r="DZ25">
        <v>5891.9849452448598</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f t="shared" si="0"/>
        <v>3</v>
      </c>
    </row>
    <row r="26" spans="1:155" x14ac:dyDescent="0.3">
      <c r="A26" t="s">
        <v>1420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0.41201913551046598</v>
      </c>
      <c r="DY26">
        <v>0.79457819461554002</v>
      </c>
      <c r="DZ26">
        <v>23160.407724283199</v>
      </c>
      <c r="EA26">
        <v>0</v>
      </c>
      <c r="EB26">
        <v>0</v>
      </c>
      <c r="EC26">
        <v>0</v>
      </c>
      <c r="ED26">
        <v>0</v>
      </c>
      <c r="EE26">
        <v>0</v>
      </c>
      <c r="EF26">
        <v>0</v>
      </c>
      <c r="EG26">
        <v>0</v>
      </c>
      <c r="EH26">
        <v>0</v>
      </c>
      <c r="EI26">
        <v>0</v>
      </c>
      <c r="EJ26">
        <v>0</v>
      </c>
      <c r="EK26">
        <v>0</v>
      </c>
      <c r="EL26">
        <v>0</v>
      </c>
      <c r="EM26">
        <v>0.67166968816345396</v>
      </c>
      <c r="EN26">
        <v>0.95110601834405695</v>
      </c>
      <c r="EO26">
        <v>2180.5211585826301</v>
      </c>
      <c r="EP26">
        <v>0</v>
      </c>
      <c r="EQ26">
        <v>0</v>
      </c>
      <c r="ER26">
        <v>0</v>
      </c>
      <c r="ES26">
        <v>0</v>
      </c>
      <c r="ET26">
        <v>0</v>
      </c>
      <c r="EU26">
        <v>0</v>
      </c>
      <c r="EV26">
        <v>0</v>
      </c>
      <c r="EW26">
        <v>0</v>
      </c>
      <c r="EX26">
        <v>0</v>
      </c>
      <c r="EY26">
        <f t="shared" si="0"/>
        <v>2</v>
      </c>
    </row>
    <row r="27" spans="1:155" x14ac:dyDescent="0.3">
      <c r="A27" t="s">
        <v>1436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0.33118500008358098</v>
      </c>
      <c r="CR27">
        <v>0.87739272785265598</v>
      </c>
      <c r="CS27">
        <v>0.74481612594921798</v>
      </c>
      <c r="CT27">
        <v>0.50877354400133401</v>
      </c>
      <c r="CU27">
        <v>0.98294769561784201</v>
      </c>
      <c r="CV27">
        <v>5305.0838602540998</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0.48334722030203198</v>
      </c>
      <c r="EW27">
        <v>0.99225041523204605</v>
      </c>
      <c r="EX27">
        <v>6390.0440185899497</v>
      </c>
      <c r="EY27">
        <f t="shared" si="0"/>
        <v>3</v>
      </c>
    </row>
    <row r="28" spans="1:155" x14ac:dyDescent="0.3">
      <c r="A28" t="s">
        <v>1833</v>
      </c>
      <c r="B28">
        <v>0</v>
      </c>
      <c r="C28">
        <v>0</v>
      </c>
      <c r="D28">
        <v>0</v>
      </c>
      <c r="E28">
        <v>0.39409489874517101</v>
      </c>
      <c r="F28">
        <v>0.99916161475958898</v>
      </c>
      <c r="G28">
        <v>5380.2986057903099</v>
      </c>
      <c r="H28">
        <v>0</v>
      </c>
      <c r="I28">
        <v>0</v>
      </c>
      <c r="J28">
        <v>0</v>
      </c>
      <c r="K28">
        <v>0</v>
      </c>
      <c r="L28">
        <v>0</v>
      </c>
      <c r="M28">
        <v>0</v>
      </c>
      <c r="N28">
        <v>0</v>
      </c>
      <c r="O28">
        <v>0</v>
      </c>
      <c r="P28">
        <v>0</v>
      </c>
      <c r="Q28">
        <v>0</v>
      </c>
      <c r="R28">
        <v>0</v>
      </c>
      <c r="S28">
        <v>0</v>
      </c>
      <c r="T28">
        <v>0</v>
      </c>
      <c r="U28">
        <v>0</v>
      </c>
      <c r="V28">
        <v>0</v>
      </c>
      <c r="W28">
        <v>0</v>
      </c>
      <c r="X28">
        <v>0</v>
      </c>
      <c r="Y28">
        <v>0</v>
      </c>
      <c r="Z28">
        <v>0.401400926669566</v>
      </c>
      <c r="AA28">
        <v>0.99967204240582797</v>
      </c>
      <c r="AB28">
        <v>3732.4820501665399</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0.34197822592612198</v>
      </c>
      <c r="AY28">
        <v>0.97343576166345702</v>
      </c>
      <c r="AZ28">
        <v>5387.32587961024</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0.40318502552830299</v>
      </c>
      <c r="DY28">
        <v>0.99690757381471296</v>
      </c>
      <c r="DZ28">
        <v>13574.0918596718</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f t="shared" si="0"/>
        <v>4</v>
      </c>
    </row>
    <row r="29" spans="1:155" x14ac:dyDescent="0.3">
      <c r="A29" t="s">
        <v>1433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0.34873972563920602</v>
      </c>
      <c r="DY29">
        <v>0.754593078572246</v>
      </c>
      <c r="DZ29">
        <v>4144.3781093390899</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f t="shared" si="0"/>
        <v>1</v>
      </c>
    </row>
    <row r="30" spans="1:155" x14ac:dyDescent="0.3">
      <c r="A30" t="s">
        <v>1425</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0.46571732287467199</v>
      </c>
      <c r="DY30">
        <v>0.91945225964621002</v>
      </c>
      <c r="DZ30">
        <v>17607.969265654101</v>
      </c>
      <c r="EA30">
        <v>0</v>
      </c>
      <c r="EB30">
        <v>0</v>
      </c>
      <c r="EC30">
        <v>0</v>
      </c>
      <c r="ED30">
        <v>0</v>
      </c>
      <c r="EE30">
        <v>0</v>
      </c>
      <c r="EF30">
        <v>0</v>
      </c>
      <c r="EG30">
        <v>0</v>
      </c>
      <c r="EH30">
        <v>0</v>
      </c>
      <c r="EI30">
        <v>0</v>
      </c>
      <c r="EJ30">
        <v>0</v>
      </c>
      <c r="EK30">
        <v>0</v>
      </c>
      <c r="EL30">
        <v>0</v>
      </c>
      <c r="EM30">
        <v>0.46956008228839102</v>
      </c>
      <c r="EN30">
        <v>0.96735477584896101</v>
      </c>
      <c r="EO30">
        <v>6398.7558826425302</v>
      </c>
      <c r="EP30">
        <v>0</v>
      </c>
      <c r="EQ30">
        <v>0</v>
      </c>
      <c r="ER30">
        <v>0</v>
      </c>
      <c r="ES30">
        <v>0</v>
      </c>
      <c r="ET30">
        <v>0</v>
      </c>
      <c r="EU30">
        <v>0</v>
      </c>
      <c r="EV30">
        <v>0</v>
      </c>
      <c r="EW30">
        <v>0</v>
      </c>
      <c r="EX30">
        <v>0</v>
      </c>
      <c r="EY30">
        <f t="shared" si="0"/>
        <v>2</v>
      </c>
    </row>
    <row r="31" spans="1:155" x14ac:dyDescent="0.3">
      <c r="A31" t="s">
        <v>1538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0.40056754944151202</v>
      </c>
      <c r="X31">
        <v>0.965574089754069</v>
      </c>
      <c r="Y31">
        <v>2863.5418701520698</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0.35984229188293698</v>
      </c>
      <c r="BT31">
        <v>0.80324581656858496</v>
      </c>
      <c r="BU31">
        <v>5801.5443877590296</v>
      </c>
      <c r="BV31">
        <v>0</v>
      </c>
      <c r="BW31">
        <v>0</v>
      </c>
      <c r="BX31">
        <v>0</v>
      </c>
      <c r="BY31">
        <v>0.37781097564701399</v>
      </c>
      <c r="BZ31">
        <v>0.88054733027871601</v>
      </c>
      <c r="CA31">
        <v>4866.4738413227096</v>
      </c>
      <c r="CB31">
        <v>0</v>
      </c>
      <c r="CC31">
        <v>0</v>
      </c>
      <c r="CD31">
        <v>0</v>
      </c>
      <c r="CE31">
        <v>0</v>
      </c>
      <c r="CF31">
        <v>0</v>
      </c>
      <c r="CG31">
        <v>0</v>
      </c>
      <c r="CH31">
        <v>0.52984441432003804</v>
      </c>
      <c r="CI31">
        <v>0.96830329420676897</v>
      </c>
      <c r="CJ31">
        <v>1371.8786330002899</v>
      </c>
      <c r="CK31">
        <v>0</v>
      </c>
      <c r="CL31">
        <v>0</v>
      </c>
      <c r="CM31">
        <v>0</v>
      </c>
      <c r="CN31">
        <v>0</v>
      </c>
      <c r="CO31">
        <v>0</v>
      </c>
      <c r="CP31">
        <v>0</v>
      </c>
      <c r="CQ31">
        <v>0</v>
      </c>
      <c r="CR31">
        <v>0</v>
      </c>
      <c r="CS31">
        <v>0</v>
      </c>
      <c r="CT31">
        <v>0.434631050197754</v>
      </c>
      <c r="CU31">
        <v>0.91587389974857203</v>
      </c>
      <c r="CV31">
        <v>10212.0931953032</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0.397062951605546</v>
      </c>
      <c r="DY31">
        <v>0.97042612735382805</v>
      </c>
      <c r="DZ31">
        <v>2718.59805674469</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0.33626288618104799</v>
      </c>
      <c r="EW31">
        <v>0.87321740128160197</v>
      </c>
      <c r="EX31">
        <v>4928.0475328571702</v>
      </c>
      <c r="EY31">
        <f t="shared" si="0"/>
        <v>7</v>
      </c>
    </row>
    <row r="32" spans="1:155" x14ac:dyDescent="0.3">
      <c r="A32" t="s">
        <v>1438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0.31007470246285201</v>
      </c>
      <c r="CX32">
        <v>0.84014457803147402</v>
      </c>
      <c r="CY32">
        <v>1285.6886236338801</v>
      </c>
      <c r="CZ32">
        <v>0</v>
      </c>
      <c r="DA32">
        <v>0</v>
      </c>
      <c r="DB32">
        <v>0</v>
      </c>
      <c r="DC32">
        <v>0</v>
      </c>
      <c r="DD32">
        <v>0</v>
      </c>
      <c r="DE32">
        <v>0</v>
      </c>
      <c r="DF32">
        <v>0</v>
      </c>
      <c r="DG32">
        <v>0</v>
      </c>
      <c r="DH32">
        <v>0</v>
      </c>
      <c r="DI32">
        <v>0.21263739620077199</v>
      </c>
      <c r="DJ32">
        <v>0.66995453884336398</v>
      </c>
      <c r="DK32">
        <v>12.410575114893099</v>
      </c>
      <c r="DL32">
        <v>0</v>
      </c>
      <c r="DM32">
        <v>0</v>
      </c>
      <c r="DN32">
        <v>0</v>
      </c>
      <c r="DO32">
        <v>0</v>
      </c>
      <c r="DP32">
        <v>0</v>
      </c>
      <c r="DQ32">
        <v>0</v>
      </c>
      <c r="DR32">
        <v>0</v>
      </c>
      <c r="DS32">
        <v>0</v>
      </c>
      <c r="DT32">
        <v>0</v>
      </c>
      <c r="DU32">
        <v>0</v>
      </c>
      <c r="DV32">
        <v>0</v>
      </c>
      <c r="DW32">
        <v>0</v>
      </c>
      <c r="DX32">
        <v>0.32006346728306501</v>
      </c>
      <c r="DY32">
        <v>0.79929420920836303</v>
      </c>
      <c r="DZ32">
        <v>11498.1580547836</v>
      </c>
      <c r="EA32">
        <v>0.34939414723465201</v>
      </c>
      <c r="EB32">
        <v>0.82468107478806496</v>
      </c>
      <c r="EC32">
        <v>16495.7176903373</v>
      </c>
      <c r="ED32">
        <v>0.33571235243861702</v>
      </c>
      <c r="EE32">
        <v>0.80289344487026904</v>
      </c>
      <c r="EF32">
        <v>7032.3990452689804</v>
      </c>
      <c r="EG32">
        <v>0</v>
      </c>
      <c r="EH32">
        <v>0</v>
      </c>
      <c r="EI32">
        <v>0</v>
      </c>
      <c r="EJ32">
        <v>0.39362306555323801</v>
      </c>
      <c r="EK32">
        <v>0.80571372708790701</v>
      </c>
      <c r="EL32">
        <v>7042.3857595899599</v>
      </c>
      <c r="EM32">
        <v>0</v>
      </c>
      <c r="EN32">
        <v>0</v>
      </c>
      <c r="EO32">
        <v>0</v>
      </c>
      <c r="EP32">
        <v>0.36722138325564302</v>
      </c>
      <c r="EQ32">
        <v>0.830703546554449</v>
      </c>
      <c r="ER32">
        <v>9362.5187869999409</v>
      </c>
      <c r="ES32">
        <v>0</v>
      </c>
      <c r="ET32">
        <v>0</v>
      </c>
      <c r="EU32">
        <v>0</v>
      </c>
      <c r="EV32">
        <v>0</v>
      </c>
      <c r="EW32">
        <v>0</v>
      </c>
      <c r="EX32">
        <v>0</v>
      </c>
      <c r="EY32">
        <f t="shared" si="0"/>
        <v>7</v>
      </c>
    </row>
    <row r="33" spans="1:155" x14ac:dyDescent="0.3">
      <c r="A33" t="s">
        <v>1442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0.42692717842338401</v>
      </c>
      <c r="AP33">
        <v>0.99959833907682905</v>
      </c>
      <c r="AQ33">
        <v>3507.75392093768</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0.461365418110807</v>
      </c>
      <c r="BW33">
        <v>1</v>
      </c>
      <c r="BX33">
        <v>264.14088072107398</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0.332847641202211</v>
      </c>
      <c r="DY33">
        <v>0.82783494687189296</v>
      </c>
      <c r="DZ33">
        <v>8401.3800795435</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f t="shared" si="0"/>
        <v>3</v>
      </c>
    </row>
    <row r="34" spans="1:155" x14ac:dyDescent="0.3">
      <c r="A34" t="s">
        <v>1444</v>
      </c>
      <c r="B34">
        <v>0</v>
      </c>
      <c r="C34">
        <v>0</v>
      </c>
      <c r="D34">
        <v>0</v>
      </c>
      <c r="E34">
        <v>0</v>
      </c>
      <c r="F34">
        <v>0</v>
      </c>
      <c r="G34">
        <v>0</v>
      </c>
      <c r="H34">
        <v>0</v>
      </c>
      <c r="I34">
        <v>0</v>
      </c>
      <c r="J34">
        <v>0</v>
      </c>
      <c r="K34">
        <v>0.62947462430134804</v>
      </c>
      <c r="L34">
        <v>0.99920092165463203</v>
      </c>
      <c r="M34">
        <v>979.71694806230403</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0.230059976466817</v>
      </c>
      <c r="AP34">
        <v>0.96225048367114896</v>
      </c>
      <c r="AQ34">
        <v>104.16119975818999</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0.50992956455418803</v>
      </c>
      <c r="BW34">
        <v>0.99932748279685302</v>
      </c>
      <c r="BX34">
        <v>17497.552453274799</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0.47635635233766999</v>
      </c>
      <c r="DY34">
        <v>0.98446086821343004</v>
      </c>
      <c r="DZ34">
        <v>23554.178667466502</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f t="shared" si="0"/>
        <v>4</v>
      </c>
    </row>
    <row r="35" spans="1:155" x14ac:dyDescent="0.3">
      <c r="A35" t="s">
        <v>1834</v>
      </c>
      <c r="B35">
        <v>0</v>
      </c>
      <c r="C35">
        <v>0</v>
      </c>
      <c r="D35">
        <v>0</v>
      </c>
      <c r="E35">
        <v>0</v>
      </c>
      <c r="F35">
        <v>0</v>
      </c>
      <c r="G35">
        <v>0</v>
      </c>
      <c r="H35">
        <v>0</v>
      </c>
      <c r="I35">
        <v>0</v>
      </c>
      <c r="J35">
        <v>0</v>
      </c>
      <c r="K35">
        <v>0</v>
      </c>
      <c r="L35">
        <v>0</v>
      </c>
      <c r="M35">
        <v>0</v>
      </c>
      <c r="N35">
        <v>0</v>
      </c>
      <c r="O35">
        <v>0</v>
      </c>
      <c r="P35">
        <v>0</v>
      </c>
      <c r="Q35">
        <v>0</v>
      </c>
      <c r="R35">
        <v>0</v>
      </c>
      <c r="S35">
        <v>0</v>
      </c>
      <c r="T35">
        <v>0.38700431083804299</v>
      </c>
      <c r="U35">
        <v>0.74940321659544995</v>
      </c>
      <c r="V35">
        <v>44.807509656290001</v>
      </c>
      <c r="W35">
        <v>0</v>
      </c>
      <c r="X35">
        <v>0</v>
      </c>
      <c r="Y35">
        <v>0</v>
      </c>
      <c r="Z35">
        <v>0</v>
      </c>
      <c r="AA35">
        <v>0</v>
      </c>
      <c r="AB35">
        <v>0</v>
      </c>
      <c r="AC35">
        <v>0</v>
      </c>
      <c r="AD35">
        <v>0</v>
      </c>
      <c r="AE35">
        <v>0</v>
      </c>
      <c r="AF35">
        <v>0.338356978225137</v>
      </c>
      <c r="AG35">
        <v>0.73439953214218801</v>
      </c>
      <c r="AH35">
        <v>7639.8493775689103</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0.38929259476592198</v>
      </c>
      <c r="BN35">
        <v>0.86573973313592101</v>
      </c>
      <c r="BO35">
        <v>6335.7011230278504</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0.36761620362187197</v>
      </c>
      <c r="DM35">
        <v>0.87434632888802499</v>
      </c>
      <c r="DN35">
        <v>4201.3324826361504</v>
      </c>
      <c r="DO35">
        <v>0</v>
      </c>
      <c r="DP35">
        <v>0</v>
      </c>
      <c r="DQ35">
        <v>0</v>
      </c>
      <c r="DR35">
        <v>0</v>
      </c>
      <c r="DS35">
        <v>0</v>
      </c>
      <c r="DT35">
        <v>0</v>
      </c>
      <c r="DU35">
        <v>0</v>
      </c>
      <c r="DV35">
        <v>0</v>
      </c>
      <c r="DW35">
        <v>0</v>
      </c>
      <c r="DX35">
        <v>0.33646902852571398</v>
      </c>
      <c r="DY35">
        <v>0.75649450988937905</v>
      </c>
      <c r="DZ35">
        <v>6314.5061705300104</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f t="shared" si="0"/>
        <v>5</v>
      </c>
    </row>
    <row r="36" spans="1:155" x14ac:dyDescent="0.3">
      <c r="A36" t="s">
        <v>1514</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0.43403030433067602</v>
      </c>
      <c r="AJ36">
        <v>1</v>
      </c>
      <c r="AK36">
        <v>108.23790439225</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0.59033003067205103</v>
      </c>
      <c r="DG36">
        <v>0.99990202588354804</v>
      </c>
      <c r="DH36">
        <v>3373.88497407452</v>
      </c>
      <c r="DI36">
        <v>0.56938611504765002</v>
      </c>
      <c r="DJ36">
        <v>0.96532890370801006</v>
      </c>
      <c r="DK36">
        <v>1636.0563387448999</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f t="shared" si="0"/>
        <v>3</v>
      </c>
    </row>
    <row r="37" spans="1:155" x14ac:dyDescent="0.3">
      <c r="A37" t="s">
        <v>1456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0.474038850020852</v>
      </c>
      <c r="AS37">
        <v>0.97271168750016601</v>
      </c>
      <c r="AT37">
        <v>4363.6538986735004</v>
      </c>
      <c r="AU37">
        <v>0</v>
      </c>
      <c r="AV37">
        <v>0</v>
      </c>
      <c r="AW37">
        <v>0</v>
      </c>
      <c r="AX37">
        <v>0.42981913361639901</v>
      </c>
      <c r="AY37">
        <v>0.99926582304878797</v>
      </c>
      <c r="AZ37">
        <v>7577.8285688874203</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0.45026803995304199</v>
      </c>
      <c r="DY37">
        <v>0.99097699503863501</v>
      </c>
      <c r="DZ37">
        <v>13408.846712149099</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f t="shared" si="0"/>
        <v>3</v>
      </c>
    </row>
    <row r="38" spans="1:155" x14ac:dyDescent="0.3">
      <c r="A38" t="s">
        <v>1835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0.34804506890986198</v>
      </c>
      <c r="AS38">
        <v>0.980544360162247</v>
      </c>
      <c r="AT38">
        <v>3599.39435695153</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0.34804506890986198</v>
      </c>
      <c r="DY38">
        <v>0.980544360162247</v>
      </c>
      <c r="DZ38">
        <v>3599.39435695153</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f t="shared" si="0"/>
        <v>2</v>
      </c>
    </row>
    <row r="39" spans="1:155" x14ac:dyDescent="0.3">
      <c r="A39" t="s">
        <v>1836</v>
      </c>
      <c r="B39">
        <v>0</v>
      </c>
      <c r="C39">
        <v>0</v>
      </c>
      <c r="D39">
        <v>0</v>
      </c>
      <c r="E39">
        <v>0</v>
      </c>
      <c r="F39">
        <v>0</v>
      </c>
      <c r="G39">
        <v>0</v>
      </c>
      <c r="H39">
        <v>8.5438095647572099E-2</v>
      </c>
      <c r="I39">
        <v>0.31508262127916697</v>
      </c>
      <c r="J39">
        <v>0.97803467739874095</v>
      </c>
      <c r="K39">
        <v>0</v>
      </c>
      <c r="L39">
        <v>0</v>
      </c>
      <c r="M39">
        <v>0</v>
      </c>
      <c r="N39">
        <v>0</v>
      </c>
      <c r="O39">
        <v>0</v>
      </c>
      <c r="P39">
        <v>0</v>
      </c>
      <c r="Q39">
        <v>0.34700442350909</v>
      </c>
      <c r="R39">
        <v>0.92916430649340898</v>
      </c>
      <c r="S39">
        <v>2180.6550866033599</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f t="shared" si="0"/>
        <v>2</v>
      </c>
    </row>
    <row r="40" spans="1:155" x14ac:dyDescent="0.3">
      <c r="A40" t="s">
        <v>1487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0.21913383076387599</v>
      </c>
      <c r="AD40">
        <v>0.96019649548620101</v>
      </c>
      <c r="AE40">
        <v>61.4782528703048</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0.51405011044290405</v>
      </c>
      <c r="CI40">
        <v>0.98151942900683897</v>
      </c>
      <c r="CJ40">
        <v>6577.9888403874402</v>
      </c>
      <c r="CK40">
        <v>0.45116579310914001</v>
      </c>
      <c r="CL40">
        <v>0.980878229059155</v>
      </c>
      <c r="CM40">
        <v>5688.0076269722103</v>
      </c>
      <c r="CN40">
        <v>0.45495469701640101</v>
      </c>
      <c r="CO40">
        <v>0.97841795619753102</v>
      </c>
      <c r="CP40">
        <v>7431.8628021858503</v>
      </c>
      <c r="CQ40">
        <v>0</v>
      </c>
      <c r="CR40">
        <v>0</v>
      </c>
      <c r="CS40">
        <v>0</v>
      </c>
      <c r="CT40">
        <v>0</v>
      </c>
      <c r="CU40">
        <v>0</v>
      </c>
      <c r="CV40">
        <v>0</v>
      </c>
      <c r="CW40">
        <v>0</v>
      </c>
      <c r="CX40">
        <v>0</v>
      </c>
      <c r="CY40">
        <v>0</v>
      </c>
      <c r="CZ40">
        <v>0</v>
      </c>
      <c r="DA40">
        <v>0</v>
      </c>
      <c r="DB40">
        <v>0</v>
      </c>
      <c r="DC40">
        <v>0</v>
      </c>
      <c r="DD40">
        <v>0</v>
      </c>
      <c r="DE40">
        <v>0</v>
      </c>
      <c r="DF40">
        <v>0</v>
      </c>
      <c r="DG40">
        <v>0</v>
      </c>
      <c r="DH40">
        <v>0</v>
      </c>
      <c r="DI40">
        <v>0.422241765219103</v>
      </c>
      <c r="DJ40">
        <v>0.96788855568668997</v>
      </c>
      <c r="DK40">
        <v>59321.815270460298</v>
      </c>
      <c r="DL40">
        <v>0</v>
      </c>
      <c r="DM40">
        <v>0</v>
      </c>
      <c r="DN40">
        <v>0</v>
      </c>
      <c r="DO40">
        <v>0</v>
      </c>
      <c r="DP40">
        <v>0</v>
      </c>
      <c r="DQ40">
        <v>0</v>
      </c>
      <c r="DR40">
        <v>0</v>
      </c>
      <c r="DS40">
        <v>0</v>
      </c>
      <c r="DT40">
        <v>0</v>
      </c>
      <c r="DU40">
        <v>0</v>
      </c>
      <c r="DV40">
        <v>0</v>
      </c>
      <c r="DW40">
        <v>0</v>
      </c>
      <c r="DX40">
        <v>0.34076224961110702</v>
      </c>
      <c r="DY40">
        <v>0.911562079103029</v>
      </c>
      <c r="DZ40">
        <v>18013.8251614412</v>
      </c>
      <c r="EA40">
        <v>0</v>
      </c>
      <c r="EB40">
        <v>0</v>
      </c>
      <c r="EC40">
        <v>0</v>
      </c>
      <c r="ED40">
        <v>0</v>
      </c>
      <c r="EE40">
        <v>0</v>
      </c>
      <c r="EF40">
        <v>0</v>
      </c>
      <c r="EG40">
        <v>0</v>
      </c>
      <c r="EH40">
        <v>0</v>
      </c>
      <c r="EI40">
        <v>0</v>
      </c>
      <c r="EJ40">
        <v>0.49629393063867699</v>
      </c>
      <c r="EK40">
        <v>0.98957295236458598</v>
      </c>
      <c r="EL40">
        <v>4743.9563994497803</v>
      </c>
      <c r="EM40">
        <v>0</v>
      </c>
      <c r="EN40">
        <v>0</v>
      </c>
      <c r="EO40">
        <v>0</v>
      </c>
      <c r="EP40">
        <v>0.41154181844176502</v>
      </c>
      <c r="EQ40">
        <v>0.91363825139433497</v>
      </c>
      <c r="ER40">
        <v>19292.634967198701</v>
      </c>
      <c r="ES40">
        <v>0</v>
      </c>
      <c r="ET40">
        <v>0</v>
      </c>
      <c r="EU40">
        <v>0</v>
      </c>
      <c r="EV40">
        <v>0</v>
      </c>
      <c r="EW40">
        <v>0</v>
      </c>
      <c r="EX40">
        <v>0</v>
      </c>
      <c r="EY40">
        <f t="shared" si="0"/>
        <v>8</v>
      </c>
    </row>
    <row r="41" spans="1:155" x14ac:dyDescent="0.3">
      <c r="A41" t="s">
        <v>1451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0.28971893365596302</v>
      </c>
      <c r="BK41">
        <v>0.979361623433189</v>
      </c>
      <c r="BL41">
        <v>2863.7858531797701</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0.30008951752436602</v>
      </c>
      <c r="DP41">
        <v>0.99544073342800499</v>
      </c>
      <c r="DQ41">
        <v>6844.5876872974304</v>
      </c>
      <c r="DR41">
        <v>0</v>
      </c>
      <c r="DS41">
        <v>0</v>
      </c>
      <c r="DT41">
        <v>0</v>
      </c>
      <c r="DU41">
        <v>0.17757714168396099</v>
      </c>
      <c r="DV41">
        <v>0.99812349148324198</v>
      </c>
      <c r="DW41">
        <v>64.673068582713</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f t="shared" si="0"/>
        <v>3</v>
      </c>
    </row>
    <row r="42" spans="1:155" x14ac:dyDescent="0.3">
      <c r="A42" t="s">
        <v>1446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0.36838038151950098</v>
      </c>
      <c r="DP42">
        <v>0.86465987671501199</v>
      </c>
      <c r="DQ42">
        <v>14325.5008153953</v>
      </c>
      <c r="DR42">
        <v>0</v>
      </c>
      <c r="DS42">
        <v>0</v>
      </c>
      <c r="DT42">
        <v>0</v>
      </c>
      <c r="DU42">
        <v>0</v>
      </c>
      <c r="DV42">
        <v>0</v>
      </c>
      <c r="DW42">
        <v>0</v>
      </c>
      <c r="DX42">
        <v>0.40853306974166498</v>
      </c>
      <c r="DY42">
        <v>0.91334797025657699</v>
      </c>
      <c r="DZ42">
        <v>33803.374766183399</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f t="shared" si="0"/>
        <v>2</v>
      </c>
    </row>
    <row r="43" spans="1:155" x14ac:dyDescent="0.3">
      <c r="A43" t="s">
        <v>1837</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0.40033233382565198</v>
      </c>
      <c r="CO43">
        <v>0.98714076563766995</v>
      </c>
      <c r="CP43">
        <v>1018.73095244131</v>
      </c>
      <c r="CQ43">
        <v>0</v>
      </c>
      <c r="CR43">
        <v>0</v>
      </c>
      <c r="CS43">
        <v>0</v>
      </c>
      <c r="CT43">
        <v>0</v>
      </c>
      <c r="CU43">
        <v>0</v>
      </c>
      <c r="CV43">
        <v>0</v>
      </c>
      <c r="CW43">
        <v>0</v>
      </c>
      <c r="CX43">
        <v>0</v>
      </c>
      <c r="CY43">
        <v>0</v>
      </c>
      <c r="CZ43">
        <v>0</v>
      </c>
      <c r="DA43">
        <v>0</v>
      </c>
      <c r="DB43">
        <v>0</v>
      </c>
      <c r="DC43">
        <v>0</v>
      </c>
      <c r="DD43">
        <v>0</v>
      </c>
      <c r="DE43">
        <v>0</v>
      </c>
      <c r="DF43">
        <v>0</v>
      </c>
      <c r="DG43">
        <v>0</v>
      </c>
      <c r="DH43">
        <v>0</v>
      </c>
      <c r="DI43">
        <v>0.344336864595922</v>
      </c>
      <c r="DJ43">
        <v>0.99163650908262302</v>
      </c>
      <c r="DK43">
        <v>321.276339675114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f t="shared" si="0"/>
        <v>2</v>
      </c>
    </row>
    <row r="44" spans="1:155" x14ac:dyDescent="0.3">
      <c r="A44" t="s">
        <v>1466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0.45539114262452401</v>
      </c>
      <c r="AJ44">
        <v>0.97473528420145406</v>
      </c>
      <c r="AK44">
        <v>36867.426635928503</v>
      </c>
      <c r="AL44">
        <v>0</v>
      </c>
      <c r="AM44">
        <v>0</v>
      </c>
      <c r="AN44">
        <v>0</v>
      </c>
      <c r="AO44">
        <v>0</v>
      </c>
      <c r="AP44">
        <v>0</v>
      </c>
      <c r="AQ44">
        <v>0</v>
      </c>
      <c r="AR44">
        <v>0</v>
      </c>
      <c r="AS44">
        <v>0</v>
      </c>
      <c r="AT44">
        <v>0</v>
      </c>
      <c r="AU44">
        <v>0</v>
      </c>
      <c r="AV44">
        <v>0</v>
      </c>
      <c r="AW44">
        <v>0</v>
      </c>
      <c r="AX44">
        <v>0</v>
      </c>
      <c r="AY44">
        <v>0</v>
      </c>
      <c r="AZ44">
        <v>0</v>
      </c>
      <c r="BA44">
        <v>0.42644787719305099</v>
      </c>
      <c r="BB44">
        <v>0.95056559071671398</v>
      </c>
      <c r="BC44">
        <v>30595.862334920199</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0.38876088431968298</v>
      </c>
      <c r="CR44">
        <v>0.93235879348281303</v>
      </c>
      <c r="CS44">
        <v>7681.0178325540601</v>
      </c>
      <c r="CT44">
        <v>0</v>
      </c>
      <c r="CU44">
        <v>0</v>
      </c>
      <c r="CV44">
        <v>0</v>
      </c>
      <c r="CW44">
        <v>0</v>
      </c>
      <c r="CX44">
        <v>0</v>
      </c>
      <c r="CY44">
        <v>0</v>
      </c>
      <c r="CZ44">
        <v>0</v>
      </c>
      <c r="DA44">
        <v>0</v>
      </c>
      <c r="DB44">
        <v>0</v>
      </c>
      <c r="DC44">
        <v>0</v>
      </c>
      <c r="DD44">
        <v>0</v>
      </c>
      <c r="DE44">
        <v>0</v>
      </c>
      <c r="DF44">
        <v>0.34725116110562498</v>
      </c>
      <c r="DG44">
        <v>0.97884286288848299</v>
      </c>
      <c r="DH44">
        <v>2413.1639935459498</v>
      </c>
      <c r="DI44">
        <v>0.391570351037064</v>
      </c>
      <c r="DJ44">
        <v>0.93745778483320596</v>
      </c>
      <c r="DK44">
        <v>7664.9970728111402</v>
      </c>
      <c r="DL44">
        <v>0</v>
      </c>
      <c r="DM44">
        <v>0</v>
      </c>
      <c r="DN44">
        <v>0</v>
      </c>
      <c r="DO44">
        <v>0</v>
      </c>
      <c r="DP44">
        <v>0</v>
      </c>
      <c r="DQ44">
        <v>0</v>
      </c>
      <c r="DR44">
        <v>0</v>
      </c>
      <c r="DS44">
        <v>0</v>
      </c>
      <c r="DT44">
        <v>0</v>
      </c>
      <c r="DU44">
        <v>0.53777841274220695</v>
      </c>
      <c r="DV44">
        <v>1</v>
      </c>
      <c r="DW44">
        <v>188.42215502127701</v>
      </c>
      <c r="DX44">
        <v>0.44388127676900002</v>
      </c>
      <c r="DY44">
        <v>0.97635119887392596</v>
      </c>
      <c r="DZ44">
        <v>13889.706579052599</v>
      </c>
      <c r="EA44">
        <v>0</v>
      </c>
      <c r="EB44">
        <v>0</v>
      </c>
      <c r="EC44">
        <v>0</v>
      </c>
      <c r="ED44">
        <v>0</v>
      </c>
      <c r="EE44">
        <v>0</v>
      </c>
      <c r="EF44">
        <v>0</v>
      </c>
      <c r="EG44">
        <v>0.42929339379835202</v>
      </c>
      <c r="EH44">
        <v>0.97935539942826599</v>
      </c>
      <c r="EI44">
        <v>4616.5995869612398</v>
      </c>
      <c r="EJ44">
        <v>0</v>
      </c>
      <c r="EK44">
        <v>0</v>
      </c>
      <c r="EL44">
        <v>0</v>
      </c>
      <c r="EM44">
        <v>0</v>
      </c>
      <c r="EN44">
        <v>0</v>
      </c>
      <c r="EO44">
        <v>0</v>
      </c>
      <c r="EP44">
        <v>0</v>
      </c>
      <c r="EQ44">
        <v>0</v>
      </c>
      <c r="ER44">
        <v>0</v>
      </c>
      <c r="ES44">
        <v>0</v>
      </c>
      <c r="ET44">
        <v>0</v>
      </c>
      <c r="EU44">
        <v>0</v>
      </c>
      <c r="EV44">
        <v>0</v>
      </c>
      <c r="EW44">
        <v>0</v>
      </c>
      <c r="EX44">
        <v>0</v>
      </c>
      <c r="EY44">
        <f t="shared" si="0"/>
        <v>8</v>
      </c>
    </row>
    <row r="45" spans="1:155" x14ac:dyDescent="0.3">
      <c r="A45" t="s">
        <v>1463</v>
      </c>
      <c r="B45">
        <v>0</v>
      </c>
      <c r="C45">
        <v>0</v>
      </c>
      <c r="D45">
        <v>0</v>
      </c>
      <c r="E45">
        <v>0</v>
      </c>
      <c r="F45">
        <v>0</v>
      </c>
      <c r="G45">
        <v>0</v>
      </c>
      <c r="H45">
        <v>0</v>
      </c>
      <c r="I45">
        <v>0</v>
      </c>
      <c r="J45">
        <v>0</v>
      </c>
      <c r="K45">
        <v>0.63090709690644198</v>
      </c>
      <c r="L45">
        <v>0.99977226763716298</v>
      </c>
      <c r="M45">
        <v>689.46756475097402</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0.44236038278996598</v>
      </c>
      <c r="CC45">
        <v>0.99454620482970502</v>
      </c>
      <c r="CD45">
        <v>8006.0141825699502</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0.63090709690644198</v>
      </c>
      <c r="DY45">
        <v>0.99977226763716298</v>
      </c>
      <c r="DZ45">
        <v>689.46756475097402</v>
      </c>
      <c r="EA45">
        <v>0</v>
      </c>
      <c r="EB45">
        <v>0</v>
      </c>
      <c r="EC45">
        <v>0</v>
      </c>
      <c r="ED45">
        <v>0</v>
      </c>
      <c r="EE45">
        <v>0</v>
      </c>
      <c r="EF45">
        <v>0</v>
      </c>
      <c r="EG45">
        <v>0</v>
      </c>
      <c r="EH45">
        <v>0</v>
      </c>
      <c r="EI45">
        <v>0</v>
      </c>
      <c r="EJ45">
        <v>0</v>
      </c>
      <c r="EK45">
        <v>0</v>
      </c>
      <c r="EL45">
        <v>0</v>
      </c>
      <c r="EM45">
        <v>0</v>
      </c>
      <c r="EN45">
        <v>0</v>
      </c>
      <c r="EO45">
        <v>0</v>
      </c>
      <c r="EP45">
        <v>0</v>
      </c>
      <c r="EQ45">
        <v>0</v>
      </c>
      <c r="ER45">
        <v>0</v>
      </c>
      <c r="ES45">
        <v>0.193051288213577</v>
      </c>
      <c r="ET45">
        <v>0.87885992079027198</v>
      </c>
      <c r="EU45">
        <v>149.476778814927</v>
      </c>
      <c r="EV45">
        <v>0</v>
      </c>
      <c r="EW45">
        <v>0</v>
      </c>
      <c r="EX45">
        <v>0</v>
      </c>
      <c r="EY45">
        <f t="shared" si="0"/>
        <v>4</v>
      </c>
    </row>
    <row r="46" spans="1:155" x14ac:dyDescent="0.3">
      <c r="A46" t="s">
        <v>1465</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0.47791278963807399</v>
      </c>
      <c r="DY46">
        <v>0.94787043512408597</v>
      </c>
      <c r="DZ46">
        <v>8358.6579389967501</v>
      </c>
      <c r="EA46">
        <v>0</v>
      </c>
      <c r="EB46">
        <v>0</v>
      </c>
      <c r="EC46">
        <v>0</v>
      </c>
      <c r="ED46">
        <v>0</v>
      </c>
      <c r="EE46">
        <v>0</v>
      </c>
      <c r="EF46">
        <v>0</v>
      </c>
      <c r="EG46">
        <v>0</v>
      </c>
      <c r="EH46">
        <v>0</v>
      </c>
      <c r="EI46">
        <v>0</v>
      </c>
      <c r="EJ46">
        <v>0</v>
      </c>
      <c r="EK46">
        <v>0</v>
      </c>
      <c r="EL46">
        <v>0</v>
      </c>
      <c r="EM46">
        <v>0.46653455253550002</v>
      </c>
      <c r="EN46">
        <v>0.95078264013848401</v>
      </c>
      <c r="EO46">
        <v>8638.7985146636693</v>
      </c>
      <c r="EP46">
        <v>0</v>
      </c>
      <c r="EQ46">
        <v>0</v>
      </c>
      <c r="ER46">
        <v>0</v>
      </c>
      <c r="ES46">
        <v>0</v>
      </c>
      <c r="ET46">
        <v>0</v>
      </c>
      <c r="EU46">
        <v>0</v>
      </c>
      <c r="EV46">
        <v>0</v>
      </c>
      <c r="EW46">
        <v>0</v>
      </c>
      <c r="EX46">
        <v>0</v>
      </c>
      <c r="EY46">
        <f t="shared" si="0"/>
        <v>2</v>
      </c>
    </row>
    <row r="47" spans="1:155" x14ac:dyDescent="0.3">
      <c r="A47" t="s">
        <v>1482</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0.42589703665597101</v>
      </c>
      <c r="BB47">
        <v>0.98950642189219895</v>
      </c>
      <c r="BC47">
        <v>3688.3124039006202</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0.55166564078754299</v>
      </c>
      <c r="DG47">
        <v>0.98866979977958303</v>
      </c>
      <c r="DH47">
        <v>12927.0773603449</v>
      </c>
      <c r="DI47">
        <v>0</v>
      </c>
      <c r="DJ47">
        <v>0</v>
      </c>
      <c r="DK47">
        <v>0</v>
      </c>
      <c r="DL47">
        <v>0</v>
      </c>
      <c r="DM47">
        <v>0</v>
      </c>
      <c r="DN47">
        <v>0</v>
      </c>
      <c r="DO47">
        <v>0</v>
      </c>
      <c r="DP47">
        <v>0</v>
      </c>
      <c r="DQ47">
        <v>0</v>
      </c>
      <c r="DR47">
        <v>0</v>
      </c>
      <c r="DS47">
        <v>0</v>
      </c>
      <c r="DT47">
        <v>0</v>
      </c>
      <c r="DU47">
        <v>0</v>
      </c>
      <c r="DV47">
        <v>0</v>
      </c>
      <c r="DW47">
        <v>0</v>
      </c>
      <c r="DX47">
        <v>0.50058880890889801</v>
      </c>
      <c r="DY47">
        <v>0.98108423174437698</v>
      </c>
      <c r="DZ47">
        <v>7346.0341761835898</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f t="shared" si="0"/>
        <v>3</v>
      </c>
    </row>
    <row r="48" spans="1:155" x14ac:dyDescent="0.3">
      <c r="A48" t="s">
        <v>1489</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0.36105169585315</v>
      </c>
      <c r="BB48">
        <v>0.903529729051187</v>
      </c>
      <c r="BC48">
        <v>9977.2374090585599</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0.41357121973546002</v>
      </c>
      <c r="CU48">
        <v>0.92598905630595896</v>
      </c>
      <c r="CV48">
        <v>6410.4256732450503</v>
      </c>
      <c r="CW48">
        <v>0</v>
      </c>
      <c r="CX48">
        <v>0</v>
      </c>
      <c r="CY48">
        <v>0</v>
      </c>
      <c r="CZ48">
        <v>0</v>
      </c>
      <c r="DA48">
        <v>0</v>
      </c>
      <c r="DB48">
        <v>0</v>
      </c>
      <c r="DC48">
        <v>0</v>
      </c>
      <c r="DD48">
        <v>0</v>
      </c>
      <c r="DE48">
        <v>0</v>
      </c>
      <c r="DF48">
        <v>0</v>
      </c>
      <c r="DG48">
        <v>0</v>
      </c>
      <c r="DH48">
        <v>0</v>
      </c>
      <c r="DI48">
        <v>0.39797135603721401</v>
      </c>
      <c r="DJ48">
        <v>0.93722359709869596</v>
      </c>
      <c r="DK48">
        <v>19875.7137845611</v>
      </c>
      <c r="DL48">
        <v>0</v>
      </c>
      <c r="DM48">
        <v>0</v>
      </c>
      <c r="DN48">
        <v>0</v>
      </c>
      <c r="DO48">
        <v>0</v>
      </c>
      <c r="DP48">
        <v>0</v>
      </c>
      <c r="DQ48">
        <v>0</v>
      </c>
      <c r="DR48">
        <v>0</v>
      </c>
      <c r="DS48">
        <v>0</v>
      </c>
      <c r="DT48">
        <v>0</v>
      </c>
      <c r="DU48">
        <v>0</v>
      </c>
      <c r="DV48">
        <v>0</v>
      </c>
      <c r="DW48">
        <v>0</v>
      </c>
      <c r="DX48">
        <v>0.383023778466135</v>
      </c>
      <c r="DY48">
        <v>0.93456546001516405</v>
      </c>
      <c r="DZ48">
        <v>18640.634695941801</v>
      </c>
      <c r="EA48">
        <v>0.39010842384275002</v>
      </c>
      <c r="EB48">
        <v>0.97548600724571699</v>
      </c>
      <c r="EC48">
        <v>11519.8719006795</v>
      </c>
      <c r="ED48">
        <v>0</v>
      </c>
      <c r="EE48">
        <v>0</v>
      </c>
      <c r="EF48">
        <v>0</v>
      </c>
      <c r="EG48">
        <v>0</v>
      </c>
      <c r="EH48">
        <v>0</v>
      </c>
      <c r="EI48">
        <v>0</v>
      </c>
      <c r="EJ48">
        <v>0</v>
      </c>
      <c r="EK48">
        <v>0</v>
      </c>
      <c r="EL48">
        <v>0</v>
      </c>
      <c r="EM48">
        <v>0</v>
      </c>
      <c r="EN48">
        <v>0</v>
      </c>
      <c r="EO48">
        <v>0</v>
      </c>
      <c r="EP48">
        <v>0</v>
      </c>
      <c r="EQ48">
        <v>0</v>
      </c>
      <c r="ER48">
        <v>0</v>
      </c>
      <c r="ES48">
        <v>0</v>
      </c>
      <c r="ET48">
        <v>0</v>
      </c>
      <c r="EU48">
        <v>0</v>
      </c>
      <c r="EV48">
        <v>0.39656938178588902</v>
      </c>
      <c r="EW48">
        <v>0.95400144814765098</v>
      </c>
      <c r="EX48">
        <v>388.38993993239501</v>
      </c>
      <c r="EY48">
        <f t="shared" si="0"/>
        <v>6</v>
      </c>
    </row>
    <row r="49" spans="1:155" x14ac:dyDescent="0.3">
      <c r="A49" t="s">
        <v>1493</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0.43218659153015399</v>
      </c>
      <c r="X49">
        <v>0.98868068425832201</v>
      </c>
      <c r="Y49">
        <v>3310.7730495507299</v>
      </c>
      <c r="Z49">
        <v>0</v>
      </c>
      <c r="AA49">
        <v>0</v>
      </c>
      <c r="AB49">
        <v>0</v>
      </c>
      <c r="AC49">
        <v>0.36451195856931001</v>
      </c>
      <c r="AD49">
        <v>0.982994657437118</v>
      </c>
      <c r="AE49">
        <v>6209.9411935156004</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0.30911273293487102</v>
      </c>
      <c r="BZ49">
        <v>0.90410478769567404</v>
      </c>
      <c r="CA49">
        <v>1218.1064865278299</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0.32181146787930498</v>
      </c>
      <c r="DJ49">
        <v>0.887296115963362</v>
      </c>
      <c r="DK49">
        <v>6451.3635133008402</v>
      </c>
      <c r="DL49">
        <v>0</v>
      </c>
      <c r="DM49">
        <v>0</v>
      </c>
      <c r="DN49">
        <v>0</v>
      </c>
      <c r="DO49">
        <v>0</v>
      </c>
      <c r="DP49">
        <v>0</v>
      </c>
      <c r="DQ49">
        <v>0</v>
      </c>
      <c r="DR49">
        <v>0</v>
      </c>
      <c r="DS49">
        <v>0</v>
      </c>
      <c r="DT49">
        <v>0</v>
      </c>
      <c r="DU49">
        <v>0</v>
      </c>
      <c r="DV49">
        <v>0</v>
      </c>
      <c r="DW49">
        <v>0</v>
      </c>
      <c r="DX49">
        <v>0.36544818200453599</v>
      </c>
      <c r="DY49">
        <v>0.94051935153699795</v>
      </c>
      <c r="DZ49">
        <v>10919.0044375284</v>
      </c>
      <c r="EA49">
        <v>0.17317242816755701</v>
      </c>
      <c r="EB49">
        <v>0.74255070492769604</v>
      </c>
      <c r="EC49">
        <v>77.928240014472706</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f t="shared" si="0"/>
        <v>6</v>
      </c>
    </row>
    <row r="50" spans="1:155" x14ac:dyDescent="0.3">
      <c r="B50">
        <f>48-(COUNTIF(B2:B49,0))</f>
        <v>3</v>
      </c>
      <c r="C50">
        <f t="shared" ref="C50:BN50" si="1">48-(COUNTIF(C2:C49,0))</f>
        <v>3</v>
      </c>
      <c r="D50">
        <f t="shared" si="1"/>
        <v>3</v>
      </c>
      <c r="E50">
        <f t="shared" si="1"/>
        <v>3</v>
      </c>
      <c r="F50">
        <f t="shared" si="1"/>
        <v>3</v>
      </c>
      <c r="G50">
        <f t="shared" si="1"/>
        <v>3</v>
      </c>
      <c r="H50">
        <f t="shared" si="1"/>
        <v>3</v>
      </c>
      <c r="I50">
        <f t="shared" si="1"/>
        <v>3</v>
      </c>
      <c r="J50">
        <f t="shared" si="1"/>
        <v>3</v>
      </c>
      <c r="K50">
        <f t="shared" si="1"/>
        <v>5</v>
      </c>
      <c r="L50">
        <f t="shared" si="1"/>
        <v>5</v>
      </c>
      <c r="M50">
        <f t="shared" si="1"/>
        <v>5</v>
      </c>
      <c r="N50">
        <f t="shared" si="1"/>
        <v>2</v>
      </c>
      <c r="O50">
        <f t="shared" si="1"/>
        <v>2</v>
      </c>
      <c r="P50">
        <f t="shared" si="1"/>
        <v>2</v>
      </c>
      <c r="Q50">
        <f t="shared" si="1"/>
        <v>2</v>
      </c>
      <c r="R50">
        <f t="shared" si="1"/>
        <v>2</v>
      </c>
      <c r="S50">
        <f t="shared" si="1"/>
        <v>2</v>
      </c>
      <c r="T50">
        <f t="shared" si="1"/>
        <v>3</v>
      </c>
      <c r="U50">
        <f t="shared" si="1"/>
        <v>3</v>
      </c>
      <c r="V50">
        <f t="shared" si="1"/>
        <v>3</v>
      </c>
      <c r="W50">
        <f t="shared" si="1"/>
        <v>4</v>
      </c>
      <c r="X50">
        <f t="shared" si="1"/>
        <v>4</v>
      </c>
      <c r="Y50">
        <f t="shared" si="1"/>
        <v>4</v>
      </c>
      <c r="Z50">
        <f t="shared" si="1"/>
        <v>2</v>
      </c>
      <c r="AA50">
        <f t="shared" si="1"/>
        <v>2</v>
      </c>
      <c r="AB50">
        <f t="shared" si="1"/>
        <v>2</v>
      </c>
      <c r="AC50">
        <f t="shared" si="1"/>
        <v>2</v>
      </c>
      <c r="AD50">
        <f t="shared" si="1"/>
        <v>2</v>
      </c>
      <c r="AE50">
        <f t="shared" si="1"/>
        <v>2</v>
      </c>
      <c r="AF50">
        <f t="shared" si="1"/>
        <v>3</v>
      </c>
      <c r="AG50">
        <f t="shared" si="1"/>
        <v>3</v>
      </c>
      <c r="AH50">
        <f t="shared" si="1"/>
        <v>3</v>
      </c>
      <c r="AI50">
        <f t="shared" si="1"/>
        <v>2</v>
      </c>
      <c r="AJ50">
        <f t="shared" si="1"/>
        <v>2</v>
      </c>
      <c r="AK50">
        <f t="shared" si="1"/>
        <v>2</v>
      </c>
      <c r="AL50">
        <f t="shared" si="1"/>
        <v>1</v>
      </c>
      <c r="AM50">
        <f t="shared" si="1"/>
        <v>1</v>
      </c>
      <c r="AN50">
        <f t="shared" si="1"/>
        <v>1</v>
      </c>
      <c r="AO50">
        <f t="shared" si="1"/>
        <v>3</v>
      </c>
      <c r="AP50">
        <f t="shared" si="1"/>
        <v>3</v>
      </c>
      <c r="AQ50">
        <f t="shared" si="1"/>
        <v>3</v>
      </c>
      <c r="AR50">
        <f t="shared" si="1"/>
        <v>7</v>
      </c>
      <c r="AS50">
        <f t="shared" si="1"/>
        <v>7</v>
      </c>
      <c r="AT50">
        <f t="shared" si="1"/>
        <v>7</v>
      </c>
      <c r="AU50">
        <f t="shared" si="1"/>
        <v>3</v>
      </c>
      <c r="AV50">
        <f t="shared" si="1"/>
        <v>3</v>
      </c>
      <c r="AW50">
        <f t="shared" si="1"/>
        <v>3</v>
      </c>
      <c r="AX50">
        <f t="shared" si="1"/>
        <v>2</v>
      </c>
      <c r="AY50">
        <f t="shared" si="1"/>
        <v>2</v>
      </c>
      <c r="AZ50">
        <f t="shared" si="1"/>
        <v>2</v>
      </c>
      <c r="BA50">
        <f t="shared" si="1"/>
        <v>4</v>
      </c>
      <c r="BB50">
        <f t="shared" si="1"/>
        <v>4</v>
      </c>
      <c r="BC50">
        <f t="shared" si="1"/>
        <v>4</v>
      </c>
      <c r="BD50">
        <f t="shared" si="1"/>
        <v>3</v>
      </c>
      <c r="BE50">
        <f t="shared" si="1"/>
        <v>3</v>
      </c>
      <c r="BF50">
        <f t="shared" si="1"/>
        <v>3</v>
      </c>
      <c r="BG50">
        <f t="shared" si="1"/>
        <v>2</v>
      </c>
      <c r="BH50">
        <f t="shared" si="1"/>
        <v>2</v>
      </c>
      <c r="BI50">
        <f t="shared" si="1"/>
        <v>2</v>
      </c>
      <c r="BJ50">
        <f t="shared" si="1"/>
        <v>3</v>
      </c>
      <c r="BK50">
        <f t="shared" si="1"/>
        <v>3</v>
      </c>
      <c r="BL50">
        <f t="shared" si="1"/>
        <v>3</v>
      </c>
      <c r="BM50">
        <f t="shared" si="1"/>
        <v>3</v>
      </c>
      <c r="BN50">
        <f t="shared" si="1"/>
        <v>3</v>
      </c>
      <c r="BO50">
        <f t="shared" ref="BO50:DZ50" si="2">48-(COUNTIF(BO2:BO49,0))</f>
        <v>3</v>
      </c>
      <c r="BP50">
        <f t="shared" si="2"/>
        <v>2</v>
      </c>
      <c r="BQ50">
        <f t="shared" si="2"/>
        <v>2</v>
      </c>
      <c r="BR50">
        <f t="shared" si="2"/>
        <v>2</v>
      </c>
      <c r="BS50">
        <f t="shared" si="2"/>
        <v>1</v>
      </c>
      <c r="BT50">
        <f t="shared" si="2"/>
        <v>1</v>
      </c>
      <c r="BU50">
        <f t="shared" si="2"/>
        <v>1</v>
      </c>
      <c r="BV50">
        <f t="shared" si="2"/>
        <v>2</v>
      </c>
      <c r="BW50">
        <f t="shared" si="2"/>
        <v>2</v>
      </c>
      <c r="BX50">
        <f t="shared" si="2"/>
        <v>2</v>
      </c>
      <c r="BY50">
        <f t="shared" si="2"/>
        <v>2</v>
      </c>
      <c r="BZ50">
        <f t="shared" si="2"/>
        <v>2</v>
      </c>
      <c r="CA50">
        <f t="shared" si="2"/>
        <v>2</v>
      </c>
      <c r="CB50">
        <f t="shared" si="2"/>
        <v>3</v>
      </c>
      <c r="CC50">
        <f t="shared" si="2"/>
        <v>3</v>
      </c>
      <c r="CD50">
        <f t="shared" si="2"/>
        <v>3</v>
      </c>
      <c r="CE50">
        <f t="shared" si="2"/>
        <v>2</v>
      </c>
      <c r="CF50">
        <f t="shared" si="2"/>
        <v>2</v>
      </c>
      <c r="CG50">
        <f t="shared" si="2"/>
        <v>2</v>
      </c>
      <c r="CH50">
        <f t="shared" si="2"/>
        <v>2</v>
      </c>
      <c r="CI50">
        <f t="shared" si="2"/>
        <v>2</v>
      </c>
      <c r="CJ50">
        <f t="shared" si="2"/>
        <v>2</v>
      </c>
      <c r="CK50">
        <f t="shared" si="2"/>
        <v>2</v>
      </c>
      <c r="CL50">
        <f t="shared" si="2"/>
        <v>2</v>
      </c>
      <c r="CM50">
        <f t="shared" si="2"/>
        <v>2</v>
      </c>
      <c r="CN50">
        <f t="shared" si="2"/>
        <v>2</v>
      </c>
      <c r="CO50">
        <f t="shared" si="2"/>
        <v>2</v>
      </c>
      <c r="CP50">
        <f t="shared" si="2"/>
        <v>2</v>
      </c>
      <c r="CQ50">
        <f t="shared" si="2"/>
        <v>2</v>
      </c>
      <c r="CR50">
        <f t="shared" si="2"/>
        <v>2</v>
      </c>
      <c r="CS50">
        <f t="shared" si="2"/>
        <v>2</v>
      </c>
      <c r="CT50">
        <f t="shared" si="2"/>
        <v>3</v>
      </c>
      <c r="CU50">
        <f t="shared" si="2"/>
        <v>3</v>
      </c>
      <c r="CV50">
        <f t="shared" si="2"/>
        <v>3</v>
      </c>
      <c r="CW50">
        <f t="shared" si="2"/>
        <v>2</v>
      </c>
      <c r="CX50">
        <f t="shared" si="2"/>
        <v>2</v>
      </c>
      <c r="CY50">
        <f t="shared" si="2"/>
        <v>2</v>
      </c>
      <c r="CZ50">
        <f t="shared" si="2"/>
        <v>1</v>
      </c>
      <c r="DA50">
        <f t="shared" si="2"/>
        <v>1</v>
      </c>
      <c r="DB50">
        <f t="shared" si="2"/>
        <v>1</v>
      </c>
      <c r="DC50">
        <f t="shared" si="2"/>
        <v>2</v>
      </c>
      <c r="DD50">
        <f t="shared" si="2"/>
        <v>2</v>
      </c>
      <c r="DE50">
        <f t="shared" si="2"/>
        <v>2</v>
      </c>
      <c r="DF50">
        <f t="shared" si="2"/>
        <v>7</v>
      </c>
      <c r="DG50">
        <f t="shared" si="2"/>
        <v>7</v>
      </c>
      <c r="DH50">
        <f t="shared" si="2"/>
        <v>7</v>
      </c>
      <c r="DI50">
        <f t="shared" si="2"/>
        <v>10</v>
      </c>
      <c r="DJ50">
        <f t="shared" si="2"/>
        <v>10</v>
      </c>
      <c r="DK50">
        <f t="shared" si="2"/>
        <v>10</v>
      </c>
      <c r="DL50">
        <f t="shared" si="2"/>
        <v>3</v>
      </c>
      <c r="DM50">
        <f t="shared" si="2"/>
        <v>3</v>
      </c>
      <c r="DN50">
        <f t="shared" si="2"/>
        <v>3</v>
      </c>
      <c r="DO50">
        <f t="shared" si="2"/>
        <v>2</v>
      </c>
      <c r="DP50">
        <f t="shared" si="2"/>
        <v>2</v>
      </c>
      <c r="DQ50">
        <f t="shared" si="2"/>
        <v>2</v>
      </c>
      <c r="DR50">
        <f t="shared" si="2"/>
        <v>1</v>
      </c>
      <c r="DS50">
        <f t="shared" si="2"/>
        <v>1</v>
      </c>
      <c r="DT50">
        <f t="shared" si="2"/>
        <v>1</v>
      </c>
      <c r="DU50">
        <f t="shared" si="2"/>
        <v>3</v>
      </c>
      <c r="DV50">
        <f t="shared" si="2"/>
        <v>3</v>
      </c>
      <c r="DW50">
        <f t="shared" si="2"/>
        <v>3</v>
      </c>
      <c r="DX50">
        <f t="shared" si="2"/>
        <v>38</v>
      </c>
      <c r="DY50">
        <f t="shared" si="2"/>
        <v>38</v>
      </c>
      <c r="DZ50">
        <f t="shared" si="2"/>
        <v>38</v>
      </c>
      <c r="EA50">
        <f t="shared" ref="EA50:EX50" si="3">48-(COUNTIF(EA2:EA49,0))</f>
        <v>6</v>
      </c>
      <c r="EB50">
        <f t="shared" si="3"/>
        <v>6</v>
      </c>
      <c r="EC50">
        <f t="shared" si="3"/>
        <v>6</v>
      </c>
      <c r="ED50">
        <f t="shared" si="3"/>
        <v>2</v>
      </c>
      <c r="EE50">
        <f t="shared" si="3"/>
        <v>2</v>
      </c>
      <c r="EF50">
        <f t="shared" si="3"/>
        <v>2</v>
      </c>
      <c r="EG50">
        <f t="shared" si="3"/>
        <v>2</v>
      </c>
      <c r="EH50">
        <f t="shared" si="3"/>
        <v>2</v>
      </c>
      <c r="EI50">
        <f t="shared" si="3"/>
        <v>2</v>
      </c>
      <c r="EJ50">
        <f t="shared" si="3"/>
        <v>3</v>
      </c>
      <c r="EK50">
        <f t="shared" si="3"/>
        <v>3</v>
      </c>
      <c r="EL50">
        <f t="shared" si="3"/>
        <v>3</v>
      </c>
      <c r="EM50">
        <f t="shared" si="3"/>
        <v>4</v>
      </c>
      <c r="EN50">
        <f t="shared" si="3"/>
        <v>4</v>
      </c>
      <c r="EO50">
        <f t="shared" si="3"/>
        <v>4</v>
      </c>
      <c r="EP50">
        <f t="shared" si="3"/>
        <v>2</v>
      </c>
      <c r="EQ50">
        <f t="shared" si="3"/>
        <v>2</v>
      </c>
      <c r="ER50">
        <f t="shared" si="3"/>
        <v>2</v>
      </c>
      <c r="ES50">
        <f t="shared" si="3"/>
        <v>3</v>
      </c>
      <c r="ET50">
        <f t="shared" si="3"/>
        <v>3</v>
      </c>
      <c r="EU50">
        <f t="shared" si="3"/>
        <v>3</v>
      </c>
      <c r="EV50">
        <f t="shared" si="3"/>
        <v>3</v>
      </c>
      <c r="EW50">
        <f t="shared" si="3"/>
        <v>3</v>
      </c>
      <c r="EX50">
        <f t="shared" si="3"/>
        <v>3</v>
      </c>
    </row>
  </sheetData>
  <autoFilter ref="A1:EY49" xr:uid="{44A7CB5B-AEC5-4B2C-B50E-AAF757EEB0A0}">
    <sortState xmlns:xlrd2="http://schemas.microsoft.com/office/spreadsheetml/2017/richdata2" ref="A2:EY49">
      <sortCondition ref="A2:A49"/>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2EEF-E5D8-45B7-B351-89277B7FFE82}">
  <dimension ref="A1:M68"/>
  <sheetViews>
    <sheetView workbookViewId="0">
      <selection activeCell="E10" sqref="E10"/>
    </sheetView>
  </sheetViews>
  <sheetFormatPr defaultRowHeight="14.4" x14ac:dyDescent="0.3"/>
  <cols>
    <col min="1" max="1" width="38.33203125" bestFit="1" customWidth="1"/>
    <col min="2" max="2" width="22.88671875" customWidth="1"/>
    <col min="3" max="3" width="16.44140625" bestFit="1" customWidth="1"/>
    <col min="4" max="4" width="18" bestFit="1" customWidth="1"/>
    <col min="5" max="10" width="12.5546875" bestFit="1" customWidth="1"/>
    <col min="13" max="13" width="22.88671875" bestFit="1" customWidth="1"/>
  </cols>
  <sheetData>
    <row r="1" spans="1:3" x14ac:dyDescent="0.3">
      <c r="A1" s="1" t="s">
        <v>1838</v>
      </c>
      <c r="B1" s="1" t="s">
        <v>1839</v>
      </c>
      <c r="C1" s="1" t="s">
        <v>1840</v>
      </c>
    </row>
    <row r="2" spans="1:3" x14ac:dyDescent="0.3">
      <c r="A2" t="s">
        <v>1841</v>
      </c>
      <c r="B2" t="s">
        <v>1842</v>
      </c>
    </row>
    <row r="3" spans="1:3" x14ac:dyDescent="0.3">
      <c r="A3" t="s">
        <v>1843</v>
      </c>
      <c r="B3" t="s">
        <v>1844</v>
      </c>
      <c r="C3">
        <v>48</v>
      </c>
    </row>
    <row r="4" spans="1:3" x14ac:dyDescent="0.3">
      <c r="A4" t="s">
        <v>1845</v>
      </c>
      <c r="B4" t="s">
        <v>1846</v>
      </c>
      <c r="C4">
        <v>20</v>
      </c>
    </row>
    <row r="5" spans="1:3" x14ac:dyDescent="0.3">
      <c r="A5" t="s">
        <v>1847</v>
      </c>
      <c r="B5" t="s">
        <v>1848</v>
      </c>
      <c r="C5">
        <v>6</v>
      </c>
    </row>
    <row r="6" spans="1:3" x14ac:dyDescent="0.3">
      <c r="A6" t="s">
        <v>1849</v>
      </c>
      <c r="B6" t="s">
        <v>1842</v>
      </c>
      <c r="C6">
        <v>42</v>
      </c>
    </row>
    <row r="7" spans="1:3" x14ac:dyDescent="0.3">
      <c r="A7" t="s">
        <v>1850</v>
      </c>
      <c r="B7" t="s">
        <v>1842</v>
      </c>
      <c r="C7">
        <v>5</v>
      </c>
    </row>
    <row r="12" spans="1:3" x14ac:dyDescent="0.3">
      <c r="A12" t="s">
        <v>1839</v>
      </c>
      <c r="B12" t="s">
        <v>1851</v>
      </c>
      <c r="C12" t="s">
        <v>1825</v>
      </c>
    </row>
    <row r="13" spans="1:3" x14ac:dyDescent="0.3">
      <c r="A13" t="s">
        <v>1493</v>
      </c>
      <c r="B13">
        <v>9</v>
      </c>
      <c r="C13">
        <v>6</v>
      </c>
    </row>
    <row r="14" spans="1:3" x14ac:dyDescent="0.3">
      <c r="A14" t="s">
        <v>1489</v>
      </c>
      <c r="B14">
        <v>9</v>
      </c>
      <c r="C14">
        <v>6</v>
      </c>
    </row>
    <row r="15" spans="1:3" x14ac:dyDescent="0.3">
      <c r="A15" t="s">
        <v>1482</v>
      </c>
      <c r="B15">
        <v>6</v>
      </c>
      <c r="C15">
        <v>3</v>
      </c>
    </row>
    <row r="16" spans="1:3" x14ac:dyDescent="0.3">
      <c r="A16" t="s">
        <v>1465</v>
      </c>
      <c r="B16">
        <v>2</v>
      </c>
      <c r="C16">
        <v>2</v>
      </c>
    </row>
    <row r="17" spans="1:3" x14ac:dyDescent="0.3">
      <c r="A17" t="s">
        <v>1463</v>
      </c>
      <c r="B17">
        <v>4</v>
      </c>
      <c r="C17">
        <v>4</v>
      </c>
    </row>
    <row r="18" spans="1:3" x14ac:dyDescent="0.3">
      <c r="A18" t="s">
        <v>1466</v>
      </c>
      <c r="B18">
        <v>11</v>
      </c>
      <c r="C18">
        <v>8</v>
      </c>
    </row>
    <row r="19" spans="1:3" x14ac:dyDescent="0.3">
      <c r="A19" t="s">
        <v>1837</v>
      </c>
      <c r="B19">
        <v>2</v>
      </c>
      <c r="C19">
        <v>2</v>
      </c>
    </row>
    <row r="20" spans="1:3" x14ac:dyDescent="0.3">
      <c r="A20" t="s">
        <v>1446</v>
      </c>
      <c r="B20">
        <v>3</v>
      </c>
      <c r="C20">
        <v>2</v>
      </c>
    </row>
    <row r="21" spans="1:3" x14ac:dyDescent="0.3">
      <c r="A21" t="s">
        <v>1451</v>
      </c>
      <c r="B21">
        <v>3</v>
      </c>
      <c r="C21">
        <v>3</v>
      </c>
    </row>
    <row r="22" spans="1:3" x14ac:dyDescent="0.3">
      <c r="A22" t="s">
        <v>1487</v>
      </c>
      <c r="B22">
        <v>13</v>
      </c>
      <c r="C22">
        <v>8</v>
      </c>
    </row>
    <row r="23" spans="1:3" x14ac:dyDescent="0.3">
      <c r="A23" t="s">
        <v>1836</v>
      </c>
      <c r="B23">
        <v>2</v>
      </c>
      <c r="C23">
        <v>2</v>
      </c>
    </row>
    <row r="24" spans="1:3" x14ac:dyDescent="0.3">
      <c r="A24" t="s">
        <v>1835</v>
      </c>
      <c r="B24">
        <v>2</v>
      </c>
      <c r="C24">
        <v>2</v>
      </c>
    </row>
    <row r="25" spans="1:3" x14ac:dyDescent="0.3">
      <c r="A25" t="s">
        <v>1456</v>
      </c>
      <c r="B25">
        <v>5</v>
      </c>
      <c r="C25">
        <v>3</v>
      </c>
    </row>
    <row r="26" spans="1:3" x14ac:dyDescent="0.3">
      <c r="A26" t="s">
        <v>1514</v>
      </c>
      <c r="B26">
        <v>4</v>
      </c>
      <c r="C26">
        <v>3</v>
      </c>
    </row>
    <row r="27" spans="1:3" x14ac:dyDescent="0.3">
      <c r="A27" t="s">
        <v>1834</v>
      </c>
      <c r="B27">
        <v>7</v>
      </c>
      <c r="C27">
        <v>5</v>
      </c>
    </row>
    <row r="28" spans="1:3" x14ac:dyDescent="0.3">
      <c r="A28" t="s">
        <v>1444</v>
      </c>
      <c r="B28">
        <v>6</v>
      </c>
      <c r="C28">
        <v>4</v>
      </c>
    </row>
    <row r="29" spans="1:3" x14ac:dyDescent="0.3">
      <c r="A29" t="s">
        <v>1442</v>
      </c>
      <c r="B29">
        <v>4</v>
      </c>
      <c r="C29">
        <v>3</v>
      </c>
    </row>
    <row r="30" spans="1:3" x14ac:dyDescent="0.3">
      <c r="A30" t="s">
        <v>1438</v>
      </c>
      <c r="B30">
        <v>10</v>
      </c>
      <c r="C30">
        <v>7</v>
      </c>
    </row>
    <row r="31" spans="1:3" x14ac:dyDescent="0.3">
      <c r="A31" t="s">
        <v>1538</v>
      </c>
      <c r="B31">
        <v>9</v>
      </c>
      <c r="C31">
        <v>7</v>
      </c>
    </row>
    <row r="32" spans="1:3" x14ac:dyDescent="0.3">
      <c r="A32" t="s">
        <v>1425</v>
      </c>
      <c r="B32">
        <v>2</v>
      </c>
      <c r="C32">
        <v>2</v>
      </c>
    </row>
    <row r="33" spans="1:3" x14ac:dyDescent="0.3">
      <c r="A33" t="s">
        <v>1433</v>
      </c>
      <c r="B33">
        <v>1</v>
      </c>
      <c r="C33">
        <v>1</v>
      </c>
    </row>
    <row r="34" spans="1:3" x14ac:dyDescent="0.3">
      <c r="A34" t="s">
        <v>1833</v>
      </c>
      <c r="B34">
        <v>4</v>
      </c>
      <c r="C34">
        <v>4</v>
      </c>
    </row>
    <row r="35" spans="1:3" x14ac:dyDescent="0.3">
      <c r="A35" t="s">
        <v>1436</v>
      </c>
      <c r="B35">
        <v>3</v>
      </c>
      <c r="C35">
        <v>3</v>
      </c>
    </row>
    <row r="36" spans="1:3" x14ac:dyDescent="0.3">
      <c r="A36" t="s">
        <v>1420</v>
      </c>
      <c r="B36">
        <v>3</v>
      </c>
      <c r="C36">
        <v>2</v>
      </c>
    </row>
    <row r="37" spans="1:3" x14ac:dyDescent="0.3">
      <c r="A37" t="s">
        <v>1418</v>
      </c>
      <c r="B37">
        <v>3</v>
      </c>
      <c r="C37">
        <v>3</v>
      </c>
    </row>
    <row r="38" spans="1:3" x14ac:dyDescent="0.3">
      <c r="A38" t="s">
        <v>1832</v>
      </c>
      <c r="B38">
        <v>1</v>
      </c>
      <c r="C38">
        <v>1</v>
      </c>
    </row>
    <row r="39" spans="1:3" x14ac:dyDescent="0.3">
      <c r="A39" t="s">
        <v>1405</v>
      </c>
      <c r="B39">
        <v>15</v>
      </c>
      <c r="C39">
        <v>6</v>
      </c>
    </row>
    <row r="40" spans="1:3" x14ac:dyDescent="0.3">
      <c r="A40" t="s">
        <v>1401</v>
      </c>
      <c r="B40">
        <v>2</v>
      </c>
      <c r="C40">
        <v>2</v>
      </c>
    </row>
    <row r="41" spans="1:3" x14ac:dyDescent="0.3">
      <c r="A41" t="s">
        <v>1398</v>
      </c>
      <c r="B41">
        <v>6</v>
      </c>
      <c r="C41">
        <v>5</v>
      </c>
    </row>
    <row r="42" spans="1:3" x14ac:dyDescent="0.3">
      <c r="A42" t="s">
        <v>1390</v>
      </c>
      <c r="B42">
        <v>4</v>
      </c>
      <c r="C42">
        <v>4</v>
      </c>
    </row>
    <row r="43" spans="1:3" x14ac:dyDescent="0.3">
      <c r="A43" t="s">
        <v>1831</v>
      </c>
      <c r="B43">
        <v>2</v>
      </c>
      <c r="C43">
        <v>2</v>
      </c>
    </row>
    <row r="44" spans="1:3" x14ac:dyDescent="0.3">
      <c r="A44" t="s">
        <v>1576</v>
      </c>
      <c r="B44">
        <v>1</v>
      </c>
      <c r="C44">
        <v>1</v>
      </c>
    </row>
    <row r="45" spans="1:3" x14ac:dyDescent="0.3">
      <c r="A45" t="s">
        <v>1379</v>
      </c>
      <c r="B45">
        <v>7</v>
      </c>
      <c r="C45">
        <v>5</v>
      </c>
    </row>
    <row r="46" spans="1:3" x14ac:dyDescent="0.3">
      <c r="A46" t="s">
        <v>1830</v>
      </c>
      <c r="B46">
        <v>1</v>
      </c>
      <c r="C46">
        <v>1</v>
      </c>
    </row>
    <row r="47" spans="1:3" x14ac:dyDescent="0.3">
      <c r="A47" t="s">
        <v>1829</v>
      </c>
      <c r="B47">
        <v>1</v>
      </c>
      <c r="C47">
        <v>1</v>
      </c>
    </row>
    <row r="48" spans="1:3" x14ac:dyDescent="0.3">
      <c r="A48" t="s">
        <v>1530</v>
      </c>
      <c r="B48">
        <v>2</v>
      </c>
      <c r="C48">
        <v>1</v>
      </c>
    </row>
    <row r="49" spans="1:3" x14ac:dyDescent="0.3">
      <c r="A49" t="s">
        <v>1373</v>
      </c>
      <c r="B49">
        <v>4</v>
      </c>
      <c r="C49">
        <v>3</v>
      </c>
    </row>
    <row r="50" spans="1:3" x14ac:dyDescent="0.3">
      <c r="A50" t="s">
        <v>1852</v>
      </c>
      <c r="B50">
        <v>20</v>
      </c>
      <c r="C50">
        <v>13</v>
      </c>
    </row>
    <row r="51" spans="1:3" x14ac:dyDescent="0.3">
      <c r="A51" t="s">
        <v>1827</v>
      </c>
      <c r="B51">
        <v>7</v>
      </c>
      <c r="C51">
        <v>6</v>
      </c>
    </row>
    <row r="52" spans="1:3" x14ac:dyDescent="0.3">
      <c r="A52" t="s">
        <v>1461</v>
      </c>
      <c r="B52">
        <v>3</v>
      </c>
      <c r="C52">
        <v>2</v>
      </c>
    </row>
    <row r="53" spans="1:3" x14ac:dyDescent="0.3">
      <c r="A53" t="s">
        <v>1357</v>
      </c>
      <c r="B53">
        <v>5</v>
      </c>
      <c r="C53">
        <v>4</v>
      </c>
    </row>
    <row r="54" spans="1:3" x14ac:dyDescent="0.3">
      <c r="A54" t="s">
        <v>1369</v>
      </c>
      <c r="B54">
        <v>8</v>
      </c>
      <c r="C54">
        <v>5</v>
      </c>
    </row>
    <row r="55" spans="1:3" x14ac:dyDescent="0.3">
      <c r="A55" t="s">
        <v>1343</v>
      </c>
      <c r="B55">
        <v>3</v>
      </c>
      <c r="C55">
        <v>2</v>
      </c>
    </row>
    <row r="56" spans="1:3" x14ac:dyDescent="0.3">
      <c r="A56" t="s">
        <v>1340</v>
      </c>
      <c r="B56">
        <v>6</v>
      </c>
      <c r="C56">
        <v>5</v>
      </c>
    </row>
    <row r="57" spans="1:3" x14ac:dyDescent="0.3">
      <c r="A57" t="s">
        <v>1348</v>
      </c>
      <c r="B57">
        <v>4</v>
      </c>
      <c r="C57">
        <v>4</v>
      </c>
    </row>
    <row r="58" spans="1:3" x14ac:dyDescent="0.3">
      <c r="A58" t="s">
        <v>1345</v>
      </c>
      <c r="B58">
        <v>4</v>
      </c>
      <c r="C58">
        <v>3</v>
      </c>
    </row>
    <row r="59" spans="1:3" x14ac:dyDescent="0.3">
      <c r="A59" t="s">
        <v>1333</v>
      </c>
      <c r="B59">
        <v>11</v>
      </c>
      <c r="C59">
        <v>9</v>
      </c>
    </row>
    <row r="60" spans="1:3" x14ac:dyDescent="0.3">
      <c r="A60" t="s">
        <v>1375</v>
      </c>
      <c r="B60">
        <v>3</v>
      </c>
      <c r="C60">
        <v>2</v>
      </c>
    </row>
    <row r="63" spans="1:3" x14ac:dyDescent="0.3">
      <c r="A63" s="6" t="s">
        <v>1853</v>
      </c>
    </row>
    <row r="65" spans="1:13" x14ac:dyDescent="0.3">
      <c r="A65" t="s">
        <v>1839</v>
      </c>
      <c r="B65" t="s">
        <v>1854</v>
      </c>
      <c r="C65" t="s">
        <v>1733</v>
      </c>
      <c r="D65" t="s">
        <v>1734</v>
      </c>
      <c r="E65" t="s">
        <v>1855</v>
      </c>
      <c r="F65" t="s">
        <v>1856</v>
      </c>
      <c r="G65" t="s">
        <v>1857</v>
      </c>
      <c r="H65" t="s">
        <v>1858</v>
      </c>
      <c r="I65" t="s">
        <v>1859</v>
      </c>
      <c r="J65" t="s">
        <v>1860</v>
      </c>
      <c r="M65" s="6" t="s">
        <v>1861</v>
      </c>
    </row>
    <row r="66" spans="1:13" x14ac:dyDescent="0.3">
      <c r="A66" t="s">
        <v>1379</v>
      </c>
      <c r="B66" s="7">
        <v>0.41905911782503802</v>
      </c>
      <c r="C66" s="7">
        <v>0.97827370695767701</v>
      </c>
      <c r="D66" s="7">
        <v>8418.1214192917305</v>
      </c>
      <c r="E66" s="7"/>
      <c r="F66" s="7">
        <v>0</v>
      </c>
      <c r="G66" s="7">
        <v>0.41905911805753299</v>
      </c>
      <c r="H66" s="7"/>
      <c r="I66" s="7"/>
      <c r="J66" s="7"/>
    </row>
    <row r="67" spans="1:13" x14ac:dyDescent="0.3">
      <c r="A67" t="s">
        <v>1405</v>
      </c>
      <c r="B67" s="7">
        <v>0.33352820423652002</v>
      </c>
      <c r="C67" s="7">
        <v>0.95068427972260605</v>
      </c>
      <c r="D67" s="7">
        <v>24476.649881945901</v>
      </c>
      <c r="E67" s="7">
        <v>0.31004422473783799</v>
      </c>
      <c r="F67" s="7">
        <v>0.34635520763069799</v>
      </c>
      <c r="G67" s="7">
        <v>0.303772739060442</v>
      </c>
      <c r="H67" s="7">
        <v>0.320942104466866</v>
      </c>
      <c r="I67" s="7">
        <v>0.295159609559978</v>
      </c>
      <c r="J67" s="7">
        <v>0.28979922122186902</v>
      </c>
    </row>
    <row r="68" spans="1:13" x14ac:dyDescent="0.3">
      <c r="A68" t="s">
        <v>1451</v>
      </c>
      <c r="B68" s="7">
        <v>0.28971893365596302</v>
      </c>
      <c r="C68" s="7">
        <v>0.979361623433189</v>
      </c>
      <c r="D68" s="7">
        <v>2863.7858531797701</v>
      </c>
      <c r="E68" s="7"/>
      <c r="F68" s="7">
        <v>0.28971893371667601</v>
      </c>
      <c r="G68" s="7"/>
      <c r="H68" s="7"/>
      <c r="I68" s="7"/>
      <c r="J68"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6AB54-0EAC-4892-B3F1-E0823B55870D}">
  <dimension ref="A1:AD698"/>
  <sheetViews>
    <sheetView workbookViewId="0">
      <selection activeCell="E700" sqref="E700"/>
    </sheetView>
  </sheetViews>
  <sheetFormatPr defaultRowHeight="14.4" x14ac:dyDescent="0.3"/>
  <cols>
    <col min="1" max="1" width="18.5546875" customWidth="1"/>
    <col min="2" max="2" width="17.6640625" customWidth="1"/>
    <col min="5" max="5" width="65.77734375" bestFit="1" customWidth="1"/>
  </cols>
  <sheetData>
    <row r="1" spans="1:30" x14ac:dyDescent="0.3">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35</v>
      </c>
    </row>
    <row r="2" spans="1:30" x14ac:dyDescent="0.3">
      <c r="A2">
        <v>555543029</v>
      </c>
      <c r="B2">
        <v>555543029</v>
      </c>
      <c r="C2">
        <v>1</v>
      </c>
      <c r="D2" t="s">
        <v>36</v>
      </c>
      <c r="E2" t="s">
        <v>37</v>
      </c>
      <c r="F2" t="s">
        <v>38</v>
      </c>
      <c r="G2" t="s">
        <v>38</v>
      </c>
      <c r="H2" t="s">
        <v>39</v>
      </c>
      <c r="I2" t="s">
        <v>40</v>
      </c>
      <c r="J2" t="s">
        <v>41</v>
      </c>
      <c r="K2">
        <v>1</v>
      </c>
      <c r="L2">
        <v>86</v>
      </c>
      <c r="M2">
        <v>67.7703871151583</v>
      </c>
      <c r="N2">
        <v>291.52519999999902</v>
      </c>
      <c r="O2">
        <v>291.98666328456301</v>
      </c>
      <c r="P2" t="s">
        <v>40</v>
      </c>
      <c r="Q2">
        <v>0</v>
      </c>
      <c r="R2" t="s">
        <v>42</v>
      </c>
      <c r="S2">
        <v>1999</v>
      </c>
      <c r="T2" t="s">
        <v>40</v>
      </c>
      <c r="U2" t="s">
        <v>40</v>
      </c>
      <c r="V2" t="s">
        <v>40</v>
      </c>
      <c r="W2" t="s">
        <v>40</v>
      </c>
      <c r="X2" t="s">
        <v>41</v>
      </c>
      <c r="Y2" t="s">
        <v>41</v>
      </c>
      <c r="Z2" t="s">
        <v>43</v>
      </c>
      <c r="AA2">
        <v>1814</v>
      </c>
      <c r="AB2" t="s">
        <v>40</v>
      </c>
      <c r="AC2" t="s">
        <v>44</v>
      </c>
      <c r="AD2" t="s">
        <v>44</v>
      </c>
    </row>
    <row r="3" spans="1:30" x14ac:dyDescent="0.3">
      <c r="A3">
        <v>555543030</v>
      </c>
      <c r="B3">
        <v>555543030</v>
      </c>
      <c r="C3">
        <v>1</v>
      </c>
      <c r="D3" t="s">
        <v>45</v>
      </c>
      <c r="E3" t="s">
        <v>46</v>
      </c>
      <c r="F3" t="s">
        <v>38</v>
      </c>
      <c r="G3" t="s">
        <v>38</v>
      </c>
      <c r="H3" t="s">
        <v>39</v>
      </c>
      <c r="I3" t="s">
        <v>40</v>
      </c>
      <c r="J3" t="s">
        <v>41</v>
      </c>
      <c r="K3">
        <v>1</v>
      </c>
      <c r="L3">
        <v>96</v>
      </c>
      <c r="M3">
        <v>106.01173576327101</v>
      </c>
      <c r="N3">
        <v>209.001599999999</v>
      </c>
      <c r="O3">
        <v>209.46834728390601</v>
      </c>
      <c r="P3" t="s">
        <v>40</v>
      </c>
      <c r="Q3">
        <v>0</v>
      </c>
      <c r="R3" t="s">
        <v>42</v>
      </c>
      <c r="S3">
        <v>1999</v>
      </c>
      <c r="T3" t="s">
        <v>40</v>
      </c>
      <c r="U3" t="s">
        <v>40</v>
      </c>
      <c r="V3" t="s">
        <v>40</v>
      </c>
      <c r="W3" t="s">
        <v>40</v>
      </c>
      <c r="X3" t="s">
        <v>41</v>
      </c>
      <c r="Y3" t="s">
        <v>41</v>
      </c>
      <c r="Z3" t="s">
        <v>43</v>
      </c>
      <c r="AA3">
        <v>1814</v>
      </c>
      <c r="AB3" t="s">
        <v>40</v>
      </c>
      <c r="AC3" t="s">
        <v>44</v>
      </c>
      <c r="AD3" t="s">
        <v>44</v>
      </c>
    </row>
    <row r="4" spans="1:30" x14ac:dyDescent="0.3">
      <c r="A4">
        <v>2252</v>
      </c>
      <c r="B4">
        <v>2252</v>
      </c>
      <c r="C4">
        <v>1</v>
      </c>
      <c r="D4" t="s">
        <v>47</v>
      </c>
      <c r="E4" t="s">
        <v>47</v>
      </c>
      <c r="F4" t="s">
        <v>48</v>
      </c>
      <c r="G4" t="s">
        <v>48</v>
      </c>
      <c r="H4" t="s">
        <v>39</v>
      </c>
      <c r="I4" t="s">
        <v>49</v>
      </c>
      <c r="J4" t="s">
        <v>41</v>
      </c>
      <c r="K4">
        <v>0</v>
      </c>
      <c r="L4">
        <v>0</v>
      </c>
      <c r="M4">
        <v>0</v>
      </c>
      <c r="N4">
        <v>1880</v>
      </c>
      <c r="O4">
        <v>1186.5738106111801</v>
      </c>
      <c r="P4" t="s">
        <v>41</v>
      </c>
      <c r="Q4">
        <v>0</v>
      </c>
      <c r="R4" t="s">
        <v>50</v>
      </c>
      <c r="S4">
        <v>1980</v>
      </c>
      <c r="T4" t="s">
        <v>40</v>
      </c>
      <c r="U4" t="s">
        <v>51</v>
      </c>
      <c r="V4" t="s">
        <v>40</v>
      </c>
      <c r="W4" t="s">
        <v>40</v>
      </c>
      <c r="X4" t="s">
        <v>41</v>
      </c>
      <c r="Y4" t="s">
        <v>41</v>
      </c>
      <c r="Z4" t="s">
        <v>43</v>
      </c>
      <c r="AA4">
        <v>6</v>
      </c>
      <c r="AB4" t="s">
        <v>52</v>
      </c>
      <c r="AC4" t="s">
        <v>53</v>
      </c>
      <c r="AD4" t="s">
        <v>53</v>
      </c>
    </row>
    <row r="5" spans="1:30" x14ac:dyDescent="0.3">
      <c r="A5">
        <v>33018</v>
      </c>
      <c r="B5">
        <v>33018</v>
      </c>
      <c r="C5">
        <v>1</v>
      </c>
      <c r="D5" t="s">
        <v>54</v>
      </c>
      <c r="E5" t="s">
        <v>54</v>
      </c>
      <c r="F5" t="s">
        <v>55</v>
      </c>
      <c r="G5" t="s">
        <v>55</v>
      </c>
      <c r="H5" t="s">
        <v>39</v>
      </c>
      <c r="I5" t="s">
        <v>40</v>
      </c>
      <c r="J5" t="s">
        <v>41</v>
      </c>
      <c r="K5">
        <v>0</v>
      </c>
      <c r="L5">
        <v>0</v>
      </c>
      <c r="M5">
        <v>0</v>
      </c>
      <c r="N5">
        <v>11</v>
      </c>
      <c r="O5">
        <v>14.5172342326844</v>
      </c>
      <c r="P5" t="s">
        <v>41</v>
      </c>
      <c r="Q5">
        <v>0</v>
      </c>
      <c r="R5" t="s">
        <v>50</v>
      </c>
      <c r="S5">
        <v>1942</v>
      </c>
      <c r="T5" t="s">
        <v>40</v>
      </c>
      <c r="U5" t="s">
        <v>51</v>
      </c>
      <c r="V5" t="s">
        <v>40</v>
      </c>
      <c r="W5" t="s">
        <v>40</v>
      </c>
      <c r="X5" t="s">
        <v>41</v>
      </c>
      <c r="Y5" t="s">
        <v>41</v>
      </c>
      <c r="Z5" t="s">
        <v>43</v>
      </c>
      <c r="AA5">
        <v>6</v>
      </c>
      <c r="AB5" t="s">
        <v>56</v>
      </c>
      <c r="AC5" t="s">
        <v>53</v>
      </c>
      <c r="AD5" t="s">
        <v>53</v>
      </c>
    </row>
    <row r="6" spans="1:30" x14ac:dyDescent="0.3">
      <c r="A6">
        <v>6950</v>
      </c>
      <c r="B6">
        <v>6950</v>
      </c>
      <c r="C6">
        <v>1</v>
      </c>
      <c r="D6" t="s">
        <v>57</v>
      </c>
      <c r="E6" t="s">
        <v>57</v>
      </c>
      <c r="F6" t="s">
        <v>55</v>
      </c>
      <c r="G6" t="s">
        <v>55</v>
      </c>
      <c r="H6" t="s">
        <v>39</v>
      </c>
      <c r="I6" t="s">
        <v>40</v>
      </c>
      <c r="J6" t="s">
        <v>41</v>
      </c>
      <c r="K6">
        <v>0</v>
      </c>
      <c r="L6">
        <v>0</v>
      </c>
      <c r="M6">
        <v>0</v>
      </c>
      <c r="N6">
        <v>732</v>
      </c>
      <c r="O6">
        <v>766.28414049699404</v>
      </c>
      <c r="P6" t="s">
        <v>41</v>
      </c>
      <c r="Q6">
        <v>0</v>
      </c>
      <c r="R6" t="s">
        <v>50</v>
      </c>
      <c r="S6">
        <v>1950</v>
      </c>
      <c r="T6" t="s">
        <v>40</v>
      </c>
      <c r="U6" t="s">
        <v>51</v>
      </c>
      <c r="V6" t="s">
        <v>40</v>
      </c>
      <c r="W6" t="s">
        <v>40</v>
      </c>
      <c r="X6" t="s">
        <v>41</v>
      </c>
      <c r="Y6" t="s">
        <v>41</v>
      </c>
      <c r="Z6" t="s">
        <v>43</v>
      </c>
      <c r="AA6">
        <v>6</v>
      </c>
      <c r="AB6" t="s">
        <v>52</v>
      </c>
      <c r="AC6" t="s">
        <v>53</v>
      </c>
      <c r="AD6" t="s">
        <v>53</v>
      </c>
    </row>
    <row r="7" spans="1:30" x14ac:dyDescent="0.3">
      <c r="A7">
        <v>6954</v>
      </c>
      <c r="B7">
        <v>6954</v>
      </c>
      <c r="C7">
        <v>1</v>
      </c>
      <c r="D7" t="s">
        <v>58</v>
      </c>
      <c r="E7" t="s">
        <v>58</v>
      </c>
      <c r="F7" t="s">
        <v>55</v>
      </c>
      <c r="G7" t="s">
        <v>55</v>
      </c>
      <c r="H7" t="s">
        <v>39</v>
      </c>
      <c r="I7" t="s">
        <v>40</v>
      </c>
      <c r="J7" t="s">
        <v>41</v>
      </c>
      <c r="K7">
        <v>0</v>
      </c>
      <c r="L7">
        <v>0</v>
      </c>
      <c r="M7">
        <v>0</v>
      </c>
      <c r="N7">
        <v>1775.42</v>
      </c>
      <c r="O7">
        <v>2222.6803875409701</v>
      </c>
      <c r="P7" t="s">
        <v>41</v>
      </c>
      <c r="Q7">
        <v>0</v>
      </c>
      <c r="R7" t="s">
        <v>50</v>
      </c>
      <c r="S7">
        <v>1942</v>
      </c>
      <c r="T7" t="s">
        <v>40</v>
      </c>
      <c r="U7" t="s">
        <v>51</v>
      </c>
      <c r="V7" t="s">
        <v>40</v>
      </c>
      <c r="W7" t="s">
        <v>40</v>
      </c>
      <c r="X7" t="s">
        <v>41</v>
      </c>
      <c r="Y7" t="s">
        <v>41</v>
      </c>
      <c r="Z7" t="s">
        <v>43</v>
      </c>
      <c r="AA7">
        <v>6</v>
      </c>
      <c r="AB7" t="s">
        <v>56</v>
      </c>
      <c r="AC7" t="s">
        <v>53</v>
      </c>
      <c r="AD7" t="s">
        <v>53</v>
      </c>
    </row>
    <row r="8" spans="1:30" x14ac:dyDescent="0.3">
      <c r="A8">
        <v>5160</v>
      </c>
      <c r="B8">
        <v>5160</v>
      </c>
      <c r="C8">
        <v>1</v>
      </c>
      <c r="D8" t="s">
        <v>59</v>
      </c>
      <c r="E8" t="s">
        <v>59</v>
      </c>
      <c r="F8" t="s">
        <v>55</v>
      </c>
      <c r="G8" t="s">
        <v>55</v>
      </c>
      <c r="H8" t="s">
        <v>39</v>
      </c>
      <c r="I8" t="s">
        <v>40</v>
      </c>
      <c r="J8" t="s">
        <v>41</v>
      </c>
      <c r="K8">
        <v>0</v>
      </c>
      <c r="L8">
        <v>0</v>
      </c>
      <c r="M8">
        <v>0</v>
      </c>
      <c r="N8">
        <v>31.5</v>
      </c>
      <c r="O8">
        <v>125.67805917228</v>
      </c>
      <c r="P8" t="s">
        <v>41</v>
      </c>
      <c r="Q8">
        <v>0</v>
      </c>
      <c r="R8" t="s">
        <v>50</v>
      </c>
      <c r="S8">
        <v>1942</v>
      </c>
      <c r="T8" t="s">
        <v>40</v>
      </c>
      <c r="U8" t="s">
        <v>51</v>
      </c>
      <c r="V8" t="s">
        <v>40</v>
      </c>
      <c r="W8" t="s">
        <v>40</v>
      </c>
      <c r="X8" t="s">
        <v>41</v>
      </c>
      <c r="Y8" t="s">
        <v>41</v>
      </c>
      <c r="Z8" t="s">
        <v>43</v>
      </c>
      <c r="AA8">
        <v>6</v>
      </c>
      <c r="AB8" t="s">
        <v>60</v>
      </c>
      <c r="AC8" t="s">
        <v>53</v>
      </c>
      <c r="AD8" t="s">
        <v>53</v>
      </c>
    </row>
    <row r="9" spans="1:30" x14ac:dyDescent="0.3">
      <c r="A9">
        <v>555543032</v>
      </c>
      <c r="B9">
        <v>555543032</v>
      </c>
      <c r="C9">
        <v>1</v>
      </c>
      <c r="D9" t="s">
        <v>61</v>
      </c>
      <c r="E9" t="s">
        <v>62</v>
      </c>
      <c r="F9" t="s">
        <v>38</v>
      </c>
      <c r="G9" t="s">
        <v>38</v>
      </c>
      <c r="H9" t="s">
        <v>39</v>
      </c>
      <c r="I9" t="s">
        <v>40</v>
      </c>
      <c r="J9" t="s">
        <v>41</v>
      </c>
      <c r="K9">
        <v>0</v>
      </c>
      <c r="L9">
        <v>0</v>
      </c>
      <c r="M9">
        <v>0</v>
      </c>
      <c r="N9">
        <v>5718.585</v>
      </c>
      <c r="O9">
        <v>5735.6811349193604</v>
      </c>
      <c r="P9" t="s">
        <v>41</v>
      </c>
      <c r="Q9">
        <v>0</v>
      </c>
      <c r="R9" t="s">
        <v>42</v>
      </c>
      <c r="S9">
        <v>1999</v>
      </c>
      <c r="T9" t="s">
        <v>40</v>
      </c>
      <c r="U9" t="s">
        <v>40</v>
      </c>
      <c r="V9" t="s">
        <v>40</v>
      </c>
      <c r="W9" t="s">
        <v>40</v>
      </c>
      <c r="X9" t="s">
        <v>41</v>
      </c>
      <c r="Y9" t="s">
        <v>41</v>
      </c>
      <c r="Z9" t="s">
        <v>43</v>
      </c>
      <c r="AA9">
        <v>1814</v>
      </c>
      <c r="AB9" t="s">
        <v>40</v>
      </c>
      <c r="AC9" t="s">
        <v>44</v>
      </c>
      <c r="AD9" t="s">
        <v>44</v>
      </c>
    </row>
    <row r="10" spans="1:30" x14ac:dyDescent="0.3">
      <c r="A10">
        <v>555577573</v>
      </c>
      <c r="B10">
        <v>555577573</v>
      </c>
      <c r="C10">
        <v>1</v>
      </c>
      <c r="D10" t="s">
        <v>63</v>
      </c>
      <c r="E10" t="s">
        <v>63</v>
      </c>
      <c r="F10" t="s">
        <v>64</v>
      </c>
      <c r="G10" t="s">
        <v>65</v>
      </c>
      <c r="H10" t="s">
        <v>39</v>
      </c>
      <c r="I10" t="s">
        <v>40</v>
      </c>
      <c r="J10" t="s">
        <v>41</v>
      </c>
      <c r="K10">
        <v>0</v>
      </c>
      <c r="L10">
        <v>0</v>
      </c>
      <c r="M10">
        <v>0</v>
      </c>
      <c r="N10">
        <v>0</v>
      </c>
      <c r="O10">
        <v>74.796822353532207</v>
      </c>
      <c r="P10" t="s">
        <v>41</v>
      </c>
      <c r="Q10">
        <v>0</v>
      </c>
      <c r="R10" t="s">
        <v>50</v>
      </c>
      <c r="S10">
        <v>2013</v>
      </c>
      <c r="T10" t="s">
        <v>66</v>
      </c>
      <c r="U10" t="s">
        <v>40</v>
      </c>
      <c r="V10" t="s">
        <v>67</v>
      </c>
      <c r="W10" t="s">
        <v>68</v>
      </c>
      <c r="X10" t="s">
        <v>41</v>
      </c>
      <c r="Y10" t="s">
        <v>41</v>
      </c>
      <c r="Z10" t="s">
        <v>43</v>
      </c>
      <c r="AA10">
        <v>1835</v>
      </c>
      <c r="AB10" t="s">
        <v>40</v>
      </c>
      <c r="AC10" t="s">
        <v>69</v>
      </c>
      <c r="AD10" t="s">
        <v>69</v>
      </c>
    </row>
    <row r="11" spans="1:30" x14ac:dyDescent="0.3">
      <c r="A11">
        <v>12359</v>
      </c>
      <c r="B11">
        <v>12359</v>
      </c>
      <c r="C11">
        <v>1</v>
      </c>
      <c r="D11" t="s">
        <v>70</v>
      </c>
      <c r="E11" t="s">
        <v>71</v>
      </c>
      <c r="F11" t="s">
        <v>72</v>
      </c>
      <c r="G11" t="s">
        <v>73</v>
      </c>
      <c r="H11" t="s">
        <v>39</v>
      </c>
      <c r="I11" t="s">
        <v>74</v>
      </c>
      <c r="J11" t="s">
        <v>41</v>
      </c>
      <c r="K11">
        <v>0</v>
      </c>
      <c r="L11">
        <v>0</v>
      </c>
      <c r="M11">
        <v>53.685109459261497</v>
      </c>
      <c r="N11">
        <v>700</v>
      </c>
      <c r="O11">
        <v>690.07167636287295</v>
      </c>
      <c r="P11" t="s">
        <v>41</v>
      </c>
      <c r="Q11">
        <v>0</v>
      </c>
      <c r="R11" t="s">
        <v>50</v>
      </c>
      <c r="S11">
        <v>1996</v>
      </c>
      <c r="T11" t="s">
        <v>66</v>
      </c>
      <c r="U11" t="s">
        <v>40</v>
      </c>
      <c r="V11" t="s">
        <v>75</v>
      </c>
      <c r="W11" t="s">
        <v>40</v>
      </c>
      <c r="X11" t="s">
        <v>41</v>
      </c>
      <c r="Y11" t="s">
        <v>41</v>
      </c>
      <c r="Z11" t="s">
        <v>43</v>
      </c>
      <c r="AA11">
        <v>1814</v>
      </c>
      <c r="AB11" t="s">
        <v>76</v>
      </c>
      <c r="AC11" t="s">
        <v>44</v>
      </c>
      <c r="AD11" t="s">
        <v>44</v>
      </c>
    </row>
    <row r="12" spans="1:30" x14ac:dyDescent="0.3">
      <c r="A12">
        <v>555543026</v>
      </c>
      <c r="B12">
        <v>555543026</v>
      </c>
      <c r="C12">
        <v>1</v>
      </c>
      <c r="D12" t="s">
        <v>77</v>
      </c>
      <c r="E12" t="s">
        <v>40</v>
      </c>
      <c r="F12" t="s">
        <v>78</v>
      </c>
      <c r="G12" t="s">
        <v>78</v>
      </c>
      <c r="H12" t="s">
        <v>39</v>
      </c>
      <c r="I12" t="s">
        <v>40</v>
      </c>
      <c r="J12" t="s">
        <v>41</v>
      </c>
      <c r="K12">
        <v>1</v>
      </c>
      <c r="L12">
        <v>293</v>
      </c>
      <c r="M12">
        <v>330.53008891653201</v>
      </c>
      <c r="N12">
        <v>383</v>
      </c>
      <c r="O12">
        <v>413.83836664934103</v>
      </c>
      <c r="P12" t="s">
        <v>40</v>
      </c>
      <c r="Q12">
        <v>0</v>
      </c>
      <c r="R12" t="s">
        <v>50</v>
      </c>
      <c r="S12">
        <v>2010</v>
      </c>
      <c r="T12" t="s">
        <v>40</v>
      </c>
      <c r="U12" t="s">
        <v>40</v>
      </c>
      <c r="V12" t="s">
        <v>40</v>
      </c>
      <c r="W12" t="s">
        <v>40</v>
      </c>
      <c r="X12" t="s">
        <v>41</v>
      </c>
      <c r="Y12" t="s">
        <v>41</v>
      </c>
      <c r="Z12" t="s">
        <v>43</v>
      </c>
      <c r="AA12">
        <v>1814</v>
      </c>
      <c r="AB12" t="s">
        <v>76</v>
      </c>
      <c r="AC12" t="s">
        <v>44</v>
      </c>
      <c r="AD12" t="s">
        <v>44</v>
      </c>
    </row>
    <row r="13" spans="1:30" x14ac:dyDescent="0.3">
      <c r="A13">
        <v>3020</v>
      </c>
      <c r="B13">
        <v>3020</v>
      </c>
      <c r="C13">
        <v>1</v>
      </c>
      <c r="D13" t="s">
        <v>79</v>
      </c>
      <c r="E13" t="s">
        <v>71</v>
      </c>
      <c r="F13" t="s">
        <v>80</v>
      </c>
      <c r="G13" t="s">
        <v>81</v>
      </c>
      <c r="H13" t="s">
        <v>82</v>
      </c>
      <c r="I13" t="s">
        <v>41</v>
      </c>
      <c r="J13" t="s">
        <v>41</v>
      </c>
      <c r="K13">
        <v>0</v>
      </c>
      <c r="L13">
        <v>0</v>
      </c>
      <c r="M13">
        <v>53.685109459261497</v>
      </c>
      <c r="N13">
        <v>758</v>
      </c>
      <c r="O13">
        <v>690.07167636287295</v>
      </c>
      <c r="P13" t="s">
        <v>41</v>
      </c>
      <c r="Q13">
        <v>0</v>
      </c>
      <c r="R13" t="s">
        <v>50</v>
      </c>
      <c r="S13">
        <v>1981</v>
      </c>
      <c r="T13" t="s">
        <v>66</v>
      </c>
      <c r="U13" t="s">
        <v>40</v>
      </c>
      <c r="V13" t="s">
        <v>75</v>
      </c>
      <c r="W13" t="s">
        <v>40</v>
      </c>
      <c r="X13" t="s">
        <v>41</v>
      </c>
      <c r="Y13" t="s">
        <v>41</v>
      </c>
      <c r="Z13" t="s">
        <v>43</v>
      </c>
      <c r="AA13">
        <v>913</v>
      </c>
      <c r="AB13" t="s">
        <v>76</v>
      </c>
      <c r="AC13" t="s">
        <v>44</v>
      </c>
      <c r="AD13" t="s">
        <v>44</v>
      </c>
    </row>
    <row r="14" spans="1:30" x14ac:dyDescent="0.3">
      <c r="A14">
        <v>555555506</v>
      </c>
      <c r="B14">
        <v>555555506</v>
      </c>
      <c r="C14">
        <v>1</v>
      </c>
      <c r="D14" t="s">
        <v>83</v>
      </c>
      <c r="E14" t="s">
        <v>83</v>
      </c>
      <c r="F14" t="s">
        <v>84</v>
      </c>
      <c r="G14" t="s">
        <v>84</v>
      </c>
      <c r="H14" t="s">
        <v>39</v>
      </c>
      <c r="I14" t="s">
        <v>40</v>
      </c>
      <c r="J14" t="s">
        <v>41</v>
      </c>
      <c r="K14">
        <v>0</v>
      </c>
      <c r="L14">
        <v>0</v>
      </c>
      <c r="M14">
        <v>0</v>
      </c>
      <c r="N14">
        <v>520.78651600000001</v>
      </c>
      <c r="O14">
        <v>521.06626019170506</v>
      </c>
      <c r="P14" t="s">
        <v>41</v>
      </c>
      <c r="Q14">
        <v>0</v>
      </c>
      <c r="R14" t="s">
        <v>40</v>
      </c>
      <c r="S14">
        <v>2013</v>
      </c>
      <c r="T14" t="s">
        <v>85</v>
      </c>
      <c r="U14" t="s">
        <v>40</v>
      </c>
      <c r="V14" t="s">
        <v>86</v>
      </c>
      <c r="W14" t="s">
        <v>40</v>
      </c>
      <c r="X14" t="s">
        <v>41</v>
      </c>
      <c r="Y14" t="s">
        <v>41</v>
      </c>
      <c r="Z14" t="s">
        <v>40</v>
      </c>
      <c r="AA14">
        <v>1775</v>
      </c>
      <c r="AB14" t="s">
        <v>40</v>
      </c>
      <c r="AC14" t="s">
        <v>87</v>
      </c>
      <c r="AD14" t="s">
        <v>87</v>
      </c>
    </row>
    <row r="15" spans="1:30" x14ac:dyDescent="0.3">
      <c r="A15">
        <v>555566906</v>
      </c>
      <c r="B15">
        <v>555566906</v>
      </c>
      <c r="C15">
        <v>1</v>
      </c>
      <c r="D15" t="s">
        <v>88</v>
      </c>
      <c r="E15" t="s">
        <v>88</v>
      </c>
      <c r="F15" t="s">
        <v>84</v>
      </c>
      <c r="G15" t="s">
        <v>84</v>
      </c>
      <c r="H15" t="s">
        <v>39</v>
      </c>
      <c r="I15" t="s">
        <v>40</v>
      </c>
      <c r="J15" t="s">
        <v>41</v>
      </c>
      <c r="K15">
        <v>0</v>
      </c>
      <c r="L15">
        <v>0</v>
      </c>
      <c r="M15">
        <v>0</v>
      </c>
      <c r="N15">
        <v>1016.48479599999</v>
      </c>
      <c r="O15">
        <v>1016.21571791875</v>
      </c>
      <c r="P15" t="s">
        <v>41</v>
      </c>
      <c r="Q15">
        <v>0</v>
      </c>
      <c r="R15" t="s">
        <v>40</v>
      </c>
      <c r="S15">
        <v>2006</v>
      </c>
      <c r="T15" t="s">
        <v>85</v>
      </c>
      <c r="U15" t="s">
        <v>40</v>
      </c>
      <c r="V15" t="s">
        <v>86</v>
      </c>
      <c r="W15" t="s">
        <v>40</v>
      </c>
      <c r="X15" t="s">
        <v>41</v>
      </c>
      <c r="Y15" t="s">
        <v>41</v>
      </c>
      <c r="Z15" t="s">
        <v>40</v>
      </c>
      <c r="AA15">
        <v>1775</v>
      </c>
      <c r="AB15" t="s">
        <v>40</v>
      </c>
      <c r="AC15" t="s">
        <v>87</v>
      </c>
      <c r="AD15" t="s">
        <v>87</v>
      </c>
    </row>
    <row r="16" spans="1:30" x14ac:dyDescent="0.3">
      <c r="A16">
        <v>555555503</v>
      </c>
      <c r="B16">
        <v>555555503</v>
      </c>
      <c r="C16">
        <v>1</v>
      </c>
      <c r="D16" t="s">
        <v>89</v>
      </c>
      <c r="E16" t="s">
        <v>89</v>
      </c>
      <c r="F16" t="s">
        <v>84</v>
      </c>
      <c r="G16" t="s">
        <v>84</v>
      </c>
      <c r="H16" t="s">
        <v>39</v>
      </c>
      <c r="I16" t="s">
        <v>40</v>
      </c>
      <c r="J16" t="s">
        <v>41</v>
      </c>
      <c r="K16">
        <v>0</v>
      </c>
      <c r="L16">
        <v>0</v>
      </c>
      <c r="M16">
        <v>0</v>
      </c>
      <c r="N16">
        <v>5491.2473170000003</v>
      </c>
      <c r="O16">
        <v>5493.63316440783</v>
      </c>
      <c r="P16" t="s">
        <v>41</v>
      </c>
      <c r="Q16">
        <v>0</v>
      </c>
      <c r="R16" t="s">
        <v>40</v>
      </c>
      <c r="S16">
        <v>2004</v>
      </c>
      <c r="T16" t="s">
        <v>85</v>
      </c>
      <c r="U16" t="s">
        <v>40</v>
      </c>
      <c r="V16" t="s">
        <v>86</v>
      </c>
      <c r="W16" t="s">
        <v>40</v>
      </c>
      <c r="X16" t="s">
        <v>41</v>
      </c>
      <c r="Y16" t="s">
        <v>41</v>
      </c>
      <c r="Z16" t="s">
        <v>40</v>
      </c>
      <c r="AA16">
        <v>1775</v>
      </c>
      <c r="AB16" t="s">
        <v>40</v>
      </c>
      <c r="AC16" t="s">
        <v>87</v>
      </c>
      <c r="AD16" t="s">
        <v>87</v>
      </c>
    </row>
    <row r="17" spans="1:30" x14ac:dyDescent="0.3">
      <c r="A17">
        <v>555555497</v>
      </c>
      <c r="B17">
        <v>555555497</v>
      </c>
      <c r="C17">
        <v>1</v>
      </c>
      <c r="D17" t="s">
        <v>90</v>
      </c>
      <c r="E17" t="s">
        <v>90</v>
      </c>
      <c r="F17" t="s">
        <v>84</v>
      </c>
      <c r="G17" t="s">
        <v>84</v>
      </c>
      <c r="H17" t="s">
        <v>39</v>
      </c>
      <c r="I17" t="s">
        <v>40</v>
      </c>
      <c r="J17" t="s">
        <v>41</v>
      </c>
      <c r="K17">
        <v>0</v>
      </c>
      <c r="L17">
        <v>0</v>
      </c>
      <c r="M17">
        <v>0</v>
      </c>
      <c r="N17">
        <v>2868.9736929999899</v>
      </c>
      <c r="O17">
        <v>2868.9937954914399</v>
      </c>
      <c r="P17" t="s">
        <v>41</v>
      </c>
      <c r="Q17">
        <v>0</v>
      </c>
      <c r="R17" t="s">
        <v>40</v>
      </c>
      <c r="S17">
        <v>1995</v>
      </c>
      <c r="T17" t="s">
        <v>85</v>
      </c>
      <c r="U17" t="s">
        <v>40</v>
      </c>
      <c r="V17" t="s">
        <v>86</v>
      </c>
      <c r="W17" t="s">
        <v>40</v>
      </c>
      <c r="X17" t="s">
        <v>41</v>
      </c>
      <c r="Y17" t="s">
        <v>41</v>
      </c>
      <c r="Z17" t="s">
        <v>40</v>
      </c>
      <c r="AA17">
        <v>1775</v>
      </c>
      <c r="AB17" t="s">
        <v>40</v>
      </c>
      <c r="AC17" t="s">
        <v>87</v>
      </c>
      <c r="AD17" t="s">
        <v>87</v>
      </c>
    </row>
    <row r="18" spans="1:30" x14ac:dyDescent="0.3">
      <c r="A18">
        <v>555555510</v>
      </c>
      <c r="B18">
        <v>555555510</v>
      </c>
      <c r="C18">
        <v>1</v>
      </c>
      <c r="D18" t="s">
        <v>91</v>
      </c>
      <c r="E18" t="s">
        <v>91</v>
      </c>
      <c r="F18" t="s">
        <v>84</v>
      </c>
      <c r="G18" t="s">
        <v>84</v>
      </c>
      <c r="H18" t="s">
        <v>39</v>
      </c>
      <c r="I18" t="s">
        <v>40</v>
      </c>
      <c r="J18" t="s">
        <v>41</v>
      </c>
      <c r="K18">
        <v>0</v>
      </c>
      <c r="L18">
        <v>0</v>
      </c>
      <c r="M18">
        <v>0</v>
      </c>
      <c r="N18">
        <v>178.96868799999899</v>
      </c>
      <c r="O18">
        <v>178.665198268186</v>
      </c>
      <c r="P18" t="s">
        <v>41</v>
      </c>
      <c r="Q18">
        <v>0</v>
      </c>
      <c r="R18" t="s">
        <v>40</v>
      </c>
      <c r="S18">
        <v>2006</v>
      </c>
      <c r="T18" t="s">
        <v>85</v>
      </c>
      <c r="U18" t="s">
        <v>40</v>
      </c>
      <c r="V18" t="s">
        <v>86</v>
      </c>
      <c r="W18" t="s">
        <v>40</v>
      </c>
      <c r="X18" t="s">
        <v>41</v>
      </c>
      <c r="Y18" t="s">
        <v>41</v>
      </c>
      <c r="Z18" t="s">
        <v>40</v>
      </c>
      <c r="AA18">
        <v>1775</v>
      </c>
      <c r="AB18" t="s">
        <v>40</v>
      </c>
      <c r="AC18" t="s">
        <v>87</v>
      </c>
      <c r="AD18" t="s">
        <v>87</v>
      </c>
    </row>
    <row r="19" spans="1:30" x14ac:dyDescent="0.3">
      <c r="A19">
        <v>555555500</v>
      </c>
      <c r="B19">
        <v>555555500</v>
      </c>
      <c r="C19">
        <v>1</v>
      </c>
      <c r="D19" t="s">
        <v>92</v>
      </c>
      <c r="E19" t="s">
        <v>92</v>
      </c>
      <c r="F19" t="s">
        <v>84</v>
      </c>
      <c r="G19" t="s">
        <v>84</v>
      </c>
      <c r="H19" t="s">
        <v>39</v>
      </c>
      <c r="I19" t="s">
        <v>40</v>
      </c>
      <c r="J19" t="s">
        <v>41</v>
      </c>
      <c r="K19">
        <v>0</v>
      </c>
      <c r="L19">
        <v>0</v>
      </c>
      <c r="M19">
        <v>0</v>
      </c>
      <c r="N19">
        <v>1038.681053</v>
      </c>
      <c r="O19">
        <v>1039.12259291449</v>
      </c>
      <c r="P19" t="s">
        <v>41</v>
      </c>
      <c r="Q19">
        <v>0</v>
      </c>
      <c r="R19" t="s">
        <v>40</v>
      </c>
      <c r="S19">
        <v>2013</v>
      </c>
      <c r="T19" t="s">
        <v>85</v>
      </c>
      <c r="U19" t="s">
        <v>40</v>
      </c>
      <c r="V19" t="s">
        <v>86</v>
      </c>
      <c r="W19" t="s">
        <v>40</v>
      </c>
      <c r="X19" t="s">
        <v>41</v>
      </c>
      <c r="Y19" t="s">
        <v>41</v>
      </c>
      <c r="Z19" t="s">
        <v>40</v>
      </c>
      <c r="AA19">
        <v>1775</v>
      </c>
      <c r="AB19" t="s">
        <v>40</v>
      </c>
      <c r="AC19" t="s">
        <v>87</v>
      </c>
      <c r="AD19" t="s">
        <v>87</v>
      </c>
    </row>
    <row r="20" spans="1:30" x14ac:dyDescent="0.3">
      <c r="A20">
        <v>17825</v>
      </c>
      <c r="B20">
        <v>17825</v>
      </c>
      <c r="C20">
        <v>1</v>
      </c>
      <c r="D20" t="s">
        <v>93</v>
      </c>
      <c r="E20" t="s">
        <v>94</v>
      </c>
      <c r="F20" t="s">
        <v>95</v>
      </c>
      <c r="G20" t="s">
        <v>95</v>
      </c>
      <c r="H20" t="s">
        <v>39</v>
      </c>
      <c r="I20" t="s">
        <v>40</v>
      </c>
      <c r="J20" t="s">
        <v>41</v>
      </c>
      <c r="K20">
        <v>0</v>
      </c>
      <c r="L20">
        <v>0</v>
      </c>
      <c r="M20">
        <v>0</v>
      </c>
      <c r="N20">
        <v>200</v>
      </c>
      <c r="O20">
        <v>236.523327376628</v>
      </c>
      <c r="P20" t="s">
        <v>41</v>
      </c>
      <c r="Q20">
        <v>0</v>
      </c>
      <c r="R20" t="s">
        <v>50</v>
      </c>
      <c r="S20">
        <v>1970</v>
      </c>
      <c r="T20" t="s">
        <v>96</v>
      </c>
      <c r="U20" t="s">
        <v>40</v>
      </c>
      <c r="V20" t="s">
        <v>40</v>
      </c>
      <c r="W20" t="s">
        <v>40</v>
      </c>
      <c r="X20" t="s">
        <v>41</v>
      </c>
      <c r="Y20" t="s">
        <v>41</v>
      </c>
      <c r="Z20" t="s">
        <v>40</v>
      </c>
      <c r="AA20">
        <v>1714</v>
      </c>
      <c r="AB20" t="s">
        <v>97</v>
      </c>
      <c r="AC20" t="s">
        <v>87</v>
      </c>
      <c r="AD20" t="s">
        <v>87</v>
      </c>
    </row>
    <row r="21" spans="1:30" x14ac:dyDescent="0.3">
      <c r="A21">
        <v>555555499</v>
      </c>
      <c r="B21">
        <v>555555499</v>
      </c>
      <c r="C21">
        <v>1</v>
      </c>
      <c r="D21" t="s">
        <v>98</v>
      </c>
      <c r="E21" t="s">
        <v>98</v>
      </c>
      <c r="F21" t="s">
        <v>99</v>
      </c>
      <c r="G21" t="s">
        <v>99</v>
      </c>
      <c r="H21" t="s">
        <v>39</v>
      </c>
      <c r="I21" t="s">
        <v>40</v>
      </c>
      <c r="J21" t="s">
        <v>41</v>
      </c>
      <c r="K21">
        <v>0</v>
      </c>
      <c r="L21">
        <v>0</v>
      </c>
      <c r="M21">
        <v>0</v>
      </c>
      <c r="N21">
        <v>364</v>
      </c>
      <c r="O21">
        <v>370.40581087571297</v>
      </c>
      <c r="P21" t="s">
        <v>41</v>
      </c>
      <c r="Q21">
        <v>0</v>
      </c>
      <c r="R21" t="s">
        <v>50</v>
      </c>
      <c r="S21">
        <v>2004</v>
      </c>
      <c r="T21" t="s">
        <v>96</v>
      </c>
      <c r="U21" t="s">
        <v>40</v>
      </c>
      <c r="V21" t="s">
        <v>40</v>
      </c>
      <c r="W21" t="s">
        <v>40</v>
      </c>
      <c r="X21" t="s">
        <v>41</v>
      </c>
      <c r="Y21" t="s">
        <v>41</v>
      </c>
      <c r="Z21" t="s">
        <v>40</v>
      </c>
      <c r="AA21">
        <v>1714</v>
      </c>
      <c r="AB21" t="s">
        <v>40</v>
      </c>
      <c r="AC21" t="s">
        <v>87</v>
      </c>
      <c r="AD21" t="s">
        <v>87</v>
      </c>
    </row>
    <row r="22" spans="1:30" x14ac:dyDescent="0.3">
      <c r="A22">
        <v>555555502</v>
      </c>
      <c r="B22">
        <v>555555502</v>
      </c>
      <c r="C22">
        <v>1</v>
      </c>
      <c r="D22" t="s">
        <v>100</v>
      </c>
      <c r="E22" t="s">
        <v>100</v>
      </c>
      <c r="F22" t="s">
        <v>99</v>
      </c>
      <c r="G22" t="s">
        <v>99</v>
      </c>
      <c r="H22" t="s">
        <v>39</v>
      </c>
      <c r="I22" t="s">
        <v>40</v>
      </c>
      <c r="J22" t="s">
        <v>41</v>
      </c>
      <c r="K22">
        <v>0</v>
      </c>
      <c r="L22">
        <v>0</v>
      </c>
      <c r="M22">
        <v>0</v>
      </c>
      <c r="N22">
        <v>198</v>
      </c>
      <c r="O22">
        <v>185.56526513362701</v>
      </c>
      <c r="P22" t="s">
        <v>41</v>
      </c>
      <c r="Q22">
        <v>0</v>
      </c>
      <c r="R22" t="s">
        <v>50</v>
      </c>
      <c r="S22">
        <v>1970</v>
      </c>
      <c r="T22" t="s">
        <v>96</v>
      </c>
      <c r="U22" t="s">
        <v>40</v>
      </c>
      <c r="V22" t="s">
        <v>40</v>
      </c>
      <c r="W22" t="s">
        <v>40</v>
      </c>
      <c r="X22" t="s">
        <v>41</v>
      </c>
      <c r="Y22" t="s">
        <v>41</v>
      </c>
      <c r="Z22" t="s">
        <v>40</v>
      </c>
      <c r="AA22">
        <v>1714</v>
      </c>
      <c r="AB22" t="s">
        <v>40</v>
      </c>
      <c r="AC22" t="s">
        <v>87</v>
      </c>
      <c r="AD22" t="s">
        <v>87</v>
      </c>
    </row>
    <row r="23" spans="1:30" x14ac:dyDescent="0.3">
      <c r="A23">
        <v>352638</v>
      </c>
      <c r="B23">
        <v>352638</v>
      </c>
      <c r="C23">
        <v>1</v>
      </c>
      <c r="D23" t="s">
        <v>101</v>
      </c>
      <c r="E23" t="s">
        <v>101</v>
      </c>
      <c r="F23" t="s">
        <v>102</v>
      </c>
      <c r="G23" t="s">
        <v>102</v>
      </c>
      <c r="H23" t="s">
        <v>39</v>
      </c>
      <c r="I23" t="s">
        <v>40</v>
      </c>
      <c r="J23" t="s">
        <v>41</v>
      </c>
      <c r="K23">
        <v>0</v>
      </c>
      <c r="L23">
        <v>0</v>
      </c>
      <c r="M23">
        <v>0</v>
      </c>
      <c r="N23">
        <v>314.39999999999901</v>
      </c>
      <c r="O23">
        <v>312.54196388364102</v>
      </c>
      <c r="P23" t="s">
        <v>41</v>
      </c>
      <c r="Q23">
        <v>0</v>
      </c>
      <c r="R23" t="s">
        <v>50</v>
      </c>
      <c r="S23">
        <v>0</v>
      </c>
      <c r="T23" t="s">
        <v>66</v>
      </c>
      <c r="U23" t="s">
        <v>51</v>
      </c>
      <c r="V23" t="s">
        <v>40</v>
      </c>
      <c r="W23" t="s">
        <v>40</v>
      </c>
      <c r="X23" t="s">
        <v>41</v>
      </c>
      <c r="Y23" t="s">
        <v>41</v>
      </c>
      <c r="Z23" t="s">
        <v>40</v>
      </c>
      <c r="AA23">
        <v>711</v>
      </c>
      <c r="AB23" t="s">
        <v>103</v>
      </c>
      <c r="AC23" t="s">
        <v>104</v>
      </c>
      <c r="AD23" t="s">
        <v>104</v>
      </c>
    </row>
    <row r="24" spans="1:30" x14ac:dyDescent="0.3">
      <c r="A24">
        <v>352641</v>
      </c>
      <c r="B24">
        <v>352641</v>
      </c>
      <c r="C24">
        <v>1</v>
      </c>
      <c r="D24" t="s">
        <v>105</v>
      </c>
      <c r="E24" t="s">
        <v>105</v>
      </c>
      <c r="F24" t="s">
        <v>102</v>
      </c>
      <c r="G24" t="s">
        <v>102</v>
      </c>
      <c r="H24" t="s">
        <v>39</v>
      </c>
      <c r="I24" t="s">
        <v>40</v>
      </c>
      <c r="J24" t="s">
        <v>41</v>
      </c>
      <c r="K24">
        <v>0</v>
      </c>
      <c r="L24">
        <v>0</v>
      </c>
      <c r="M24">
        <v>0</v>
      </c>
      <c r="N24">
        <v>199.37</v>
      </c>
      <c r="O24">
        <v>198.204672237914</v>
      </c>
      <c r="P24" t="s">
        <v>41</v>
      </c>
      <c r="Q24">
        <v>0</v>
      </c>
      <c r="R24" t="s">
        <v>50</v>
      </c>
      <c r="S24">
        <v>0</v>
      </c>
      <c r="T24" t="s">
        <v>66</v>
      </c>
      <c r="U24" t="s">
        <v>51</v>
      </c>
      <c r="V24" t="s">
        <v>40</v>
      </c>
      <c r="W24" t="s">
        <v>40</v>
      </c>
      <c r="X24" t="s">
        <v>41</v>
      </c>
      <c r="Y24" t="s">
        <v>41</v>
      </c>
      <c r="Z24" t="s">
        <v>40</v>
      </c>
      <c r="AA24">
        <v>711</v>
      </c>
      <c r="AB24" t="s">
        <v>103</v>
      </c>
      <c r="AC24" t="s">
        <v>104</v>
      </c>
      <c r="AD24" t="s">
        <v>104</v>
      </c>
    </row>
    <row r="25" spans="1:30" x14ac:dyDescent="0.3">
      <c r="A25">
        <v>352642</v>
      </c>
      <c r="B25">
        <v>352642</v>
      </c>
      <c r="C25">
        <v>1</v>
      </c>
      <c r="D25" t="s">
        <v>106</v>
      </c>
      <c r="E25" t="s">
        <v>106</v>
      </c>
      <c r="F25" t="s">
        <v>102</v>
      </c>
      <c r="G25" t="s">
        <v>102</v>
      </c>
      <c r="H25" t="s">
        <v>39</v>
      </c>
      <c r="I25" t="s">
        <v>40</v>
      </c>
      <c r="J25" t="s">
        <v>41</v>
      </c>
      <c r="K25">
        <v>0</v>
      </c>
      <c r="L25">
        <v>0</v>
      </c>
      <c r="M25">
        <v>0</v>
      </c>
      <c r="N25">
        <v>417.94999999999902</v>
      </c>
      <c r="O25">
        <v>415.48399279331801</v>
      </c>
      <c r="P25" t="s">
        <v>41</v>
      </c>
      <c r="Q25">
        <v>0</v>
      </c>
      <c r="R25" t="s">
        <v>50</v>
      </c>
      <c r="S25">
        <v>0</v>
      </c>
      <c r="T25" t="s">
        <v>66</v>
      </c>
      <c r="U25" t="s">
        <v>51</v>
      </c>
      <c r="V25" t="s">
        <v>40</v>
      </c>
      <c r="W25" t="s">
        <v>40</v>
      </c>
      <c r="X25" t="s">
        <v>41</v>
      </c>
      <c r="Y25" t="s">
        <v>41</v>
      </c>
      <c r="Z25" t="s">
        <v>40</v>
      </c>
      <c r="AA25">
        <v>711</v>
      </c>
      <c r="AB25" t="s">
        <v>103</v>
      </c>
      <c r="AC25" t="s">
        <v>104</v>
      </c>
      <c r="AD25" t="s">
        <v>104</v>
      </c>
    </row>
    <row r="26" spans="1:30" x14ac:dyDescent="0.3">
      <c r="A26">
        <v>352644</v>
      </c>
      <c r="B26">
        <v>352644</v>
      </c>
      <c r="C26">
        <v>1</v>
      </c>
      <c r="D26" t="s">
        <v>107</v>
      </c>
      <c r="E26" t="s">
        <v>107</v>
      </c>
      <c r="F26" t="s">
        <v>102</v>
      </c>
      <c r="G26" t="s">
        <v>102</v>
      </c>
      <c r="H26" t="s">
        <v>39</v>
      </c>
      <c r="I26" t="s">
        <v>40</v>
      </c>
      <c r="J26" t="s">
        <v>41</v>
      </c>
      <c r="K26">
        <v>0</v>
      </c>
      <c r="L26">
        <v>0</v>
      </c>
      <c r="M26">
        <v>0</v>
      </c>
      <c r="N26">
        <v>436.66</v>
      </c>
      <c r="O26">
        <v>434.08154865495698</v>
      </c>
      <c r="P26" t="s">
        <v>41</v>
      </c>
      <c r="Q26">
        <v>0</v>
      </c>
      <c r="R26" t="s">
        <v>50</v>
      </c>
      <c r="S26">
        <v>0</v>
      </c>
      <c r="T26" t="s">
        <v>66</v>
      </c>
      <c r="U26" t="s">
        <v>51</v>
      </c>
      <c r="V26" t="s">
        <v>40</v>
      </c>
      <c r="W26" t="s">
        <v>40</v>
      </c>
      <c r="X26" t="s">
        <v>41</v>
      </c>
      <c r="Y26" t="s">
        <v>41</v>
      </c>
      <c r="Z26" t="s">
        <v>40</v>
      </c>
      <c r="AA26">
        <v>711</v>
      </c>
      <c r="AB26" t="s">
        <v>103</v>
      </c>
      <c r="AC26" t="s">
        <v>104</v>
      </c>
      <c r="AD26" t="s">
        <v>104</v>
      </c>
    </row>
    <row r="27" spans="1:30" x14ac:dyDescent="0.3">
      <c r="A27">
        <v>352646</v>
      </c>
      <c r="B27">
        <v>352646</v>
      </c>
      <c r="C27">
        <v>1</v>
      </c>
      <c r="D27" t="s">
        <v>108</v>
      </c>
      <c r="E27" t="s">
        <v>108</v>
      </c>
      <c r="F27" t="s">
        <v>102</v>
      </c>
      <c r="G27" t="s">
        <v>102</v>
      </c>
      <c r="H27" t="s">
        <v>39</v>
      </c>
      <c r="I27" t="s">
        <v>40</v>
      </c>
      <c r="J27" t="s">
        <v>41</v>
      </c>
      <c r="K27">
        <v>0</v>
      </c>
      <c r="L27">
        <v>0</v>
      </c>
      <c r="M27">
        <v>0</v>
      </c>
      <c r="N27">
        <v>42.2899999999999</v>
      </c>
      <c r="O27">
        <v>42.037191787140202</v>
      </c>
      <c r="P27" t="s">
        <v>41</v>
      </c>
      <c r="Q27">
        <v>0</v>
      </c>
      <c r="R27" t="s">
        <v>50</v>
      </c>
      <c r="S27">
        <v>0</v>
      </c>
      <c r="T27" t="s">
        <v>66</v>
      </c>
      <c r="U27" t="s">
        <v>51</v>
      </c>
      <c r="V27" t="s">
        <v>40</v>
      </c>
      <c r="W27" t="s">
        <v>40</v>
      </c>
      <c r="X27" t="s">
        <v>41</v>
      </c>
      <c r="Y27" t="s">
        <v>41</v>
      </c>
      <c r="Z27" t="s">
        <v>40</v>
      </c>
      <c r="AA27">
        <v>711</v>
      </c>
      <c r="AB27" t="s">
        <v>109</v>
      </c>
      <c r="AC27" t="s">
        <v>104</v>
      </c>
      <c r="AD27" t="s">
        <v>104</v>
      </c>
    </row>
    <row r="28" spans="1:30" x14ac:dyDescent="0.3">
      <c r="A28">
        <v>352647</v>
      </c>
      <c r="B28">
        <v>352647</v>
      </c>
      <c r="C28">
        <v>1</v>
      </c>
      <c r="D28" t="s">
        <v>110</v>
      </c>
      <c r="E28" t="s">
        <v>110</v>
      </c>
      <c r="F28" t="s">
        <v>102</v>
      </c>
      <c r="G28" t="s">
        <v>102</v>
      </c>
      <c r="H28" t="s">
        <v>39</v>
      </c>
      <c r="I28" t="s">
        <v>40</v>
      </c>
      <c r="J28" t="s">
        <v>41</v>
      </c>
      <c r="K28">
        <v>0</v>
      </c>
      <c r="L28">
        <v>0</v>
      </c>
      <c r="M28">
        <v>0</v>
      </c>
      <c r="N28">
        <v>200.729999999999</v>
      </c>
      <c r="O28">
        <v>199.543675344223</v>
      </c>
      <c r="P28" t="s">
        <v>41</v>
      </c>
      <c r="Q28">
        <v>0</v>
      </c>
      <c r="R28" t="s">
        <v>50</v>
      </c>
      <c r="S28">
        <v>0</v>
      </c>
      <c r="T28" t="s">
        <v>66</v>
      </c>
      <c r="U28" t="s">
        <v>51</v>
      </c>
      <c r="V28" t="s">
        <v>40</v>
      </c>
      <c r="W28" t="s">
        <v>40</v>
      </c>
      <c r="X28" t="s">
        <v>41</v>
      </c>
      <c r="Y28" t="s">
        <v>41</v>
      </c>
      <c r="Z28" t="s">
        <v>40</v>
      </c>
      <c r="AA28">
        <v>711</v>
      </c>
      <c r="AB28" t="s">
        <v>103</v>
      </c>
      <c r="AC28" t="s">
        <v>104</v>
      </c>
      <c r="AD28" t="s">
        <v>104</v>
      </c>
    </row>
    <row r="29" spans="1:30" x14ac:dyDescent="0.3">
      <c r="A29">
        <v>352648</v>
      </c>
      <c r="B29">
        <v>352648</v>
      </c>
      <c r="C29">
        <v>1</v>
      </c>
      <c r="D29" t="s">
        <v>111</v>
      </c>
      <c r="E29" t="s">
        <v>111</v>
      </c>
      <c r="F29" t="s">
        <v>102</v>
      </c>
      <c r="G29" t="s">
        <v>102</v>
      </c>
      <c r="H29" t="s">
        <v>39</v>
      </c>
      <c r="I29" t="s">
        <v>40</v>
      </c>
      <c r="J29" t="s">
        <v>41</v>
      </c>
      <c r="K29">
        <v>0</v>
      </c>
      <c r="L29">
        <v>0</v>
      </c>
      <c r="M29">
        <v>0</v>
      </c>
      <c r="N29">
        <v>145.58000000000001</v>
      </c>
      <c r="O29">
        <v>144.720577604254</v>
      </c>
      <c r="P29" t="s">
        <v>41</v>
      </c>
      <c r="Q29">
        <v>0</v>
      </c>
      <c r="R29" t="s">
        <v>50</v>
      </c>
      <c r="S29">
        <v>0</v>
      </c>
      <c r="T29" t="s">
        <v>66</v>
      </c>
      <c r="U29" t="s">
        <v>51</v>
      </c>
      <c r="V29" t="s">
        <v>40</v>
      </c>
      <c r="W29" t="s">
        <v>40</v>
      </c>
      <c r="X29" t="s">
        <v>41</v>
      </c>
      <c r="Y29" t="s">
        <v>41</v>
      </c>
      <c r="Z29" t="s">
        <v>40</v>
      </c>
      <c r="AA29">
        <v>711</v>
      </c>
      <c r="AB29" t="s">
        <v>109</v>
      </c>
      <c r="AC29" t="s">
        <v>104</v>
      </c>
      <c r="AD29" t="s">
        <v>104</v>
      </c>
    </row>
    <row r="30" spans="1:30" x14ac:dyDescent="0.3">
      <c r="A30">
        <v>352649</v>
      </c>
      <c r="B30">
        <v>352649</v>
      </c>
      <c r="C30">
        <v>1</v>
      </c>
      <c r="D30" t="s">
        <v>112</v>
      </c>
      <c r="E30" t="s">
        <v>112</v>
      </c>
      <c r="F30" t="s">
        <v>102</v>
      </c>
      <c r="G30" t="s">
        <v>102</v>
      </c>
      <c r="H30" t="s">
        <v>39</v>
      </c>
      <c r="I30" t="s">
        <v>40</v>
      </c>
      <c r="J30" t="s">
        <v>41</v>
      </c>
      <c r="K30">
        <v>0</v>
      </c>
      <c r="L30">
        <v>0</v>
      </c>
      <c r="M30">
        <v>0</v>
      </c>
      <c r="N30">
        <v>60.719999999999899</v>
      </c>
      <c r="O30">
        <v>60.365767305014501</v>
      </c>
      <c r="P30" t="s">
        <v>41</v>
      </c>
      <c r="Q30">
        <v>0</v>
      </c>
      <c r="R30" t="s">
        <v>50</v>
      </c>
      <c r="S30">
        <v>0</v>
      </c>
      <c r="T30" t="s">
        <v>66</v>
      </c>
      <c r="U30" t="s">
        <v>51</v>
      </c>
      <c r="V30" t="s">
        <v>40</v>
      </c>
      <c r="W30" t="s">
        <v>40</v>
      </c>
      <c r="X30" t="s">
        <v>41</v>
      </c>
      <c r="Y30" t="s">
        <v>41</v>
      </c>
      <c r="Z30" t="s">
        <v>40</v>
      </c>
      <c r="AA30">
        <v>711</v>
      </c>
      <c r="AB30" t="s">
        <v>109</v>
      </c>
      <c r="AC30" t="s">
        <v>104</v>
      </c>
      <c r="AD30" t="s">
        <v>104</v>
      </c>
    </row>
    <row r="31" spans="1:30" x14ac:dyDescent="0.3">
      <c r="A31">
        <v>352651</v>
      </c>
      <c r="B31">
        <v>352651</v>
      </c>
      <c r="C31">
        <v>1</v>
      </c>
      <c r="D31" t="s">
        <v>113</v>
      </c>
      <c r="E31" t="s">
        <v>113</v>
      </c>
      <c r="F31" t="s">
        <v>102</v>
      </c>
      <c r="G31" t="s">
        <v>102</v>
      </c>
      <c r="H31" t="s">
        <v>39</v>
      </c>
      <c r="I31" t="s">
        <v>40</v>
      </c>
      <c r="J31" t="s">
        <v>41</v>
      </c>
      <c r="K31">
        <v>0</v>
      </c>
      <c r="L31">
        <v>0</v>
      </c>
      <c r="M31">
        <v>0</v>
      </c>
      <c r="N31">
        <v>140.909999999999</v>
      </c>
      <c r="O31">
        <v>140.08237074821901</v>
      </c>
      <c r="P31" t="s">
        <v>41</v>
      </c>
      <c r="Q31">
        <v>0</v>
      </c>
      <c r="R31" t="s">
        <v>50</v>
      </c>
      <c r="S31">
        <v>0</v>
      </c>
      <c r="T31" t="s">
        <v>66</v>
      </c>
      <c r="U31" t="s">
        <v>51</v>
      </c>
      <c r="V31" t="s">
        <v>40</v>
      </c>
      <c r="W31" t="s">
        <v>40</v>
      </c>
      <c r="X31" t="s">
        <v>41</v>
      </c>
      <c r="Y31" t="s">
        <v>41</v>
      </c>
      <c r="Z31" t="s">
        <v>40</v>
      </c>
      <c r="AA31">
        <v>711</v>
      </c>
      <c r="AB31" t="s">
        <v>103</v>
      </c>
      <c r="AC31" t="s">
        <v>104</v>
      </c>
      <c r="AD31" t="s">
        <v>104</v>
      </c>
    </row>
    <row r="32" spans="1:30" x14ac:dyDescent="0.3">
      <c r="A32">
        <v>352652</v>
      </c>
      <c r="B32">
        <v>352652</v>
      </c>
      <c r="C32">
        <v>1</v>
      </c>
      <c r="D32" t="s">
        <v>114</v>
      </c>
      <c r="E32" t="s">
        <v>114</v>
      </c>
      <c r="F32" t="s">
        <v>102</v>
      </c>
      <c r="G32" t="s">
        <v>102</v>
      </c>
      <c r="H32" t="s">
        <v>39</v>
      </c>
      <c r="I32" t="s">
        <v>40</v>
      </c>
      <c r="J32" t="s">
        <v>41</v>
      </c>
      <c r="K32">
        <v>0</v>
      </c>
      <c r="L32">
        <v>0</v>
      </c>
      <c r="M32">
        <v>0</v>
      </c>
      <c r="N32">
        <v>96.06</v>
      </c>
      <c r="O32">
        <v>95.486453152357598</v>
      </c>
      <c r="P32" t="s">
        <v>41</v>
      </c>
      <c r="Q32">
        <v>0</v>
      </c>
      <c r="R32" t="s">
        <v>50</v>
      </c>
      <c r="S32">
        <v>0</v>
      </c>
      <c r="T32" t="s">
        <v>66</v>
      </c>
      <c r="U32" t="s">
        <v>51</v>
      </c>
      <c r="V32" t="s">
        <v>40</v>
      </c>
      <c r="W32" t="s">
        <v>40</v>
      </c>
      <c r="X32" t="s">
        <v>41</v>
      </c>
      <c r="Y32" t="s">
        <v>41</v>
      </c>
      <c r="Z32" t="s">
        <v>40</v>
      </c>
      <c r="AA32">
        <v>711</v>
      </c>
      <c r="AB32" t="s">
        <v>103</v>
      </c>
      <c r="AC32" t="s">
        <v>104</v>
      </c>
      <c r="AD32" t="s">
        <v>104</v>
      </c>
    </row>
    <row r="33" spans="1:30" x14ac:dyDescent="0.3">
      <c r="A33">
        <v>902886</v>
      </c>
      <c r="B33">
        <v>902886</v>
      </c>
      <c r="C33">
        <v>1</v>
      </c>
      <c r="D33" t="s">
        <v>115</v>
      </c>
      <c r="E33" t="s">
        <v>115</v>
      </c>
      <c r="F33" t="s">
        <v>116</v>
      </c>
      <c r="G33" t="s">
        <v>116</v>
      </c>
      <c r="H33" t="s">
        <v>82</v>
      </c>
      <c r="I33" t="s">
        <v>40</v>
      </c>
      <c r="J33" t="s">
        <v>117</v>
      </c>
      <c r="K33">
        <v>0</v>
      </c>
      <c r="L33">
        <v>0</v>
      </c>
      <c r="M33">
        <v>0</v>
      </c>
      <c r="N33">
        <v>57000</v>
      </c>
      <c r="O33">
        <v>24217.3847012076</v>
      </c>
      <c r="P33" t="s">
        <v>41</v>
      </c>
      <c r="Q33">
        <v>0</v>
      </c>
      <c r="R33" t="s">
        <v>50</v>
      </c>
      <c r="S33">
        <v>2006</v>
      </c>
      <c r="T33" t="s">
        <v>40</v>
      </c>
      <c r="U33" t="s">
        <v>40</v>
      </c>
      <c r="V33" t="s">
        <v>118</v>
      </c>
      <c r="W33" t="s">
        <v>119</v>
      </c>
      <c r="X33" t="s">
        <v>41</v>
      </c>
      <c r="Y33" t="s">
        <v>41</v>
      </c>
      <c r="Z33" t="s">
        <v>43</v>
      </c>
      <c r="AA33">
        <v>1856</v>
      </c>
      <c r="AB33" t="s">
        <v>120</v>
      </c>
      <c r="AC33" t="s">
        <v>121</v>
      </c>
      <c r="AD33" t="s">
        <v>121</v>
      </c>
    </row>
    <row r="34" spans="1:30" x14ac:dyDescent="0.3">
      <c r="A34">
        <v>903</v>
      </c>
      <c r="B34">
        <v>903</v>
      </c>
      <c r="C34">
        <v>1</v>
      </c>
      <c r="D34" t="s">
        <v>122</v>
      </c>
      <c r="E34" t="s">
        <v>122</v>
      </c>
      <c r="F34" t="s">
        <v>123</v>
      </c>
      <c r="G34" t="s">
        <v>123</v>
      </c>
      <c r="H34" t="s">
        <v>39</v>
      </c>
      <c r="I34" t="s">
        <v>124</v>
      </c>
      <c r="J34" t="s">
        <v>41</v>
      </c>
      <c r="K34">
        <v>0</v>
      </c>
      <c r="L34">
        <v>0</v>
      </c>
      <c r="M34">
        <v>0</v>
      </c>
      <c r="N34">
        <v>22800</v>
      </c>
      <c r="O34">
        <v>19239.3532976079</v>
      </c>
      <c r="P34" t="s">
        <v>41</v>
      </c>
      <c r="Q34">
        <v>0</v>
      </c>
      <c r="R34" t="s">
        <v>50</v>
      </c>
      <c r="S34">
        <v>1939</v>
      </c>
      <c r="T34" t="s">
        <v>66</v>
      </c>
      <c r="U34" t="s">
        <v>40</v>
      </c>
      <c r="V34" t="s">
        <v>118</v>
      </c>
      <c r="W34" t="s">
        <v>68</v>
      </c>
      <c r="X34" t="s">
        <v>41</v>
      </c>
      <c r="Y34" t="s">
        <v>41</v>
      </c>
      <c r="Z34" t="s">
        <v>43</v>
      </c>
      <c r="AA34">
        <v>1847</v>
      </c>
      <c r="AB34" t="s">
        <v>125</v>
      </c>
      <c r="AC34" t="s">
        <v>121</v>
      </c>
      <c r="AD34" t="s">
        <v>121</v>
      </c>
    </row>
    <row r="35" spans="1:30" x14ac:dyDescent="0.3">
      <c r="A35">
        <v>1374</v>
      </c>
      <c r="B35">
        <v>1374</v>
      </c>
      <c r="C35">
        <v>1</v>
      </c>
      <c r="D35" t="s">
        <v>126</v>
      </c>
      <c r="E35" t="s">
        <v>126</v>
      </c>
      <c r="F35" t="s">
        <v>127</v>
      </c>
      <c r="G35" t="s">
        <v>127</v>
      </c>
      <c r="H35" t="s">
        <v>39</v>
      </c>
      <c r="I35" t="s">
        <v>49</v>
      </c>
      <c r="J35" t="s">
        <v>41</v>
      </c>
      <c r="K35">
        <v>0</v>
      </c>
      <c r="L35">
        <v>0</v>
      </c>
      <c r="M35">
        <v>0</v>
      </c>
      <c r="N35">
        <v>200</v>
      </c>
      <c r="O35">
        <v>175.94025390086401</v>
      </c>
      <c r="P35" t="s">
        <v>41</v>
      </c>
      <c r="Q35">
        <v>0</v>
      </c>
      <c r="R35" t="s">
        <v>50</v>
      </c>
      <c r="S35">
        <v>1939</v>
      </c>
      <c r="T35" t="s">
        <v>66</v>
      </c>
      <c r="U35" t="s">
        <v>40</v>
      </c>
      <c r="V35" t="s">
        <v>118</v>
      </c>
      <c r="W35" t="s">
        <v>68</v>
      </c>
      <c r="X35" t="s">
        <v>41</v>
      </c>
      <c r="Y35" t="s">
        <v>41</v>
      </c>
      <c r="Z35" t="s">
        <v>43</v>
      </c>
      <c r="AA35">
        <v>1847</v>
      </c>
      <c r="AB35" t="s">
        <v>128</v>
      </c>
      <c r="AC35" t="s">
        <v>121</v>
      </c>
      <c r="AD35" t="s">
        <v>121</v>
      </c>
    </row>
    <row r="36" spans="1:30" x14ac:dyDescent="0.3">
      <c r="A36">
        <v>555624233</v>
      </c>
      <c r="B36">
        <v>555624233</v>
      </c>
      <c r="C36">
        <v>1</v>
      </c>
      <c r="D36" t="s">
        <v>129</v>
      </c>
      <c r="E36" t="s">
        <v>129</v>
      </c>
      <c r="F36" t="s">
        <v>130</v>
      </c>
      <c r="G36" t="s">
        <v>130</v>
      </c>
      <c r="H36" t="s">
        <v>39</v>
      </c>
      <c r="I36" t="s">
        <v>131</v>
      </c>
      <c r="J36" t="s">
        <v>41</v>
      </c>
      <c r="K36">
        <v>0</v>
      </c>
      <c r="L36">
        <v>0</v>
      </c>
      <c r="M36">
        <v>0</v>
      </c>
      <c r="N36">
        <v>51.57</v>
      </c>
      <c r="O36">
        <v>51.5907420254401</v>
      </c>
      <c r="P36" t="s">
        <v>41</v>
      </c>
      <c r="Q36">
        <v>0</v>
      </c>
      <c r="R36" t="s">
        <v>50</v>
      </c>
      <c r="S36">
        <v>2010</v>
      </c>
      <c r="T36" t="s">
        <v>66</v>
      </c>
      <c r="U36" t="s">
        <v>40</v>
      </c>
      <c r="V36" t="s">
        <v>132</v>
      </c>
      <c r="W36" t="s">
        <v>40</v>
      </c>
      <c r="X36" t="s">
        <v>41</v>
      </c>
      <c r="Y36" t="s">
        <v>41</v>
      </c>
      <c r="Z36" t="s">
        <v>43</v>
      </c>
      <c r="AA36">
        <v>1897</v>
      </c>
      <c r="AB36" t="s">
        <v>40</v>
      </c>
      <c r="AC36" t="s">
        <v>133</v>
      </c>
      <c r="AD36" t="s">
        <v>133</v>
      </c>
    </row>
    <row r="37" spans="1:30" x14ac:dyDescent="0.3">
      <c r="A37">
        <v>12390</v>
      </c>
      <c r="B37">
        <v>12390</v>
      </c>
      <c r="C37">
        <v>1</v>
      </c>
      <c r="D37" t="s">
        <v>134</v>
      </c>
      <c r="E37" t="s">
        <v>134</v>
      </c>
      <c r="F37" t="s">
        <v>123</v>
      </c>
      <c r="G37" t="s">
        <v>123</v>
      </c>
      <c r="H37" t="s">
        <v>39</v>
      </c>
      <c r="I37" t="s">
        <v>131</v>
      </c>
      <c r="J37" t="s">
        <v>41</v>
      </c>
      <c r="K37">
        <v>0</v>
      </c>
      <c r="L37">
        <v>0</v>
      </c>
      <c r="M37">
        <v>0</v>
      </c>
      <c r="N37">
        <v>19.39</v>
      </c>
      <c r="O37">
        <v>19.403201346898101</v>
      </c>
      <c r="P37" t="s">
        <v>41</v>
      </c>
      <c r="Q37">
        <v>0</v>
      </c>
      <c r="R37" t="s">
        <v>50</v>
      </c>
      <c r="S37">
        <v>1987</v>
      </c>
      <c r="T37" t="s">
        <v>66</v>
      </c>
      <c r="U37" t="s">
        <v>40</v>
      </c>
      <c r="V37" t="s">
        <v>132</v>
      </c>
      <c r="W37" t="s">
        <v>40</v>
      </c>
      <c r="X37" t="s">
        <v>41</v>
      </c>
      <c r="Y37" t="s">
        <v>41</v>
      </c>
      <c r="Z37" t="s">
        <v>43</v>
      </c>
      <c r="AA37">
        <v>1897</v>
      </c>
      <c r="AB37" t="s">
        <v>135</v>
      </c>
      <c r="AC37" t="s">
        <v>133</v>
      </c>
      <c r="AD37" t="s">
        <v>133</v>
      </c>
    </row>
    <row r="38" spans="1:30" x14ac:dyDescent="0.3">
      <c r="A38">
        <v>555624295</v>
      </c>
      <c r="B38">
        <v>555624295</v>
      </c>
      <c r="C38">
        <v>1</v>
      </c>
      <c r="D38" t="s">
        <v>136</v>
      </c>
      <c r="E38" t="s">
        <v>136</v>
      </c>
      <c r="F38" t="s">
        <v>137</v>
      </c>
      <c r="G38" t="s">
        <v>137</v>
      </c>
      <c r="H38" t="s">
        <v>39</v>
      </c>
      <c r="I38" t="s">
        <v>40</v>
      </c>
      <c r="J38" t="s">
        <v>41</v>
      </c>
      <c r="K38">
        <v>0</v>
      </c>
      <c r="L38">
        <v>0</v>
      </c>
      <c r="M38">
        <v>0</v>
      </c>
      <c r="N38">
        <v>29.7899999999999</v>
      </c>
      <c r="O38">
        <v>24.032455177563001</v>
      </c>
      <c r="P38" t="s">
        <v>41</v>
      </c>
      <c r="Q38">
        <v>0</v>
      </c>
      <c r="R38" t="s">
        <v>50</v>
      </c>
      <c r="S38">
        <v>2007</v>
      </c>
      <c r="T38" t="s">
        <v>66</v>
      </c>
      <c r="U38" t="s">
        <v>40</v>
      </c>
      <c r="V38" t="s">
        <v>132</v>
      </c>
      <c r="W38" t="s">
        <v>40</v>
      </c>
      <c r="X38" t="s">
        <v>41</v>
      </c>
      <c r="Y38" t="s">
        <v>41</v>
      </c>
      <c r="Z38" t="s">
        <v>43</v>
      </c>
      <c r="AA38">
        <v>1897</v>
      </c>
      <c r="AB38" t="s">
        <v>40</v>
      </c>
      <c r="AC38" t="s">
        <v>133</v>
      </c>
      <c r="AD38" t="s">
        <v>133</v>
      </c>
    </row>
    <row r="39" spans="1:30" x14ac:dyDescent="0.3">
      <c r="A39">
        <v>555624241</v>
      </c>
      <c r="B39">
        <v>555624241</v>
      </c>
      <c r="C39">
        <v>1</v>
      </c>
      <c r="D39" t="s">
        <v>138</v>
      </c>
      <c r="E39" t="s">
        <v>138</v>
      </c>
      <c r="F39" t="s">
        <v>137</v>
      </c>
      <c r="G39" t="s">
        <v>137</v>
      </c>
      <c r="H39" t="s">
        <v>39</v>
      </c>
      <c r="I39" t="s">
        <v>40</v>
      </c>
      <c r="J39" t="s">
        <v>41</v>
      </c>
      <c r="K39">
        <v>0</v>
      </c>
      <c r="L39">
        <v>0</v>
      </c>
      <c r="M39">
        <v>0</v>
      </c>
      <c r="N39">
        <v>27.34</v>
      </c>
      <c r="O39">
        <v>34.098825314048298</v>
      </c>
      <c r="P39" t="s">
        <v>41</v>
      </c>
      <c r="Q39">
        <v>0</v>
      </c>
      <c r="R39" t="s">
        <v>50</v>
      </c>
      <c r="S39">
        <v>2012</v>
      </c>
      <c r="T39" t="s">
        <v>66</v>
      </c>
      <c r="U39" t="s">
        <v>40</v>
      </c>
      <c r="V39" t="s">
        <v>132</v>
      </c>
      <c r="W39" t="s">
        <v>40</v>
      </c>
      <c r="X39" t="s">
        <v>41</v>
      </c>
      <c r="Y39" t="s">
        <v>41</v>
      </c>
      <c r="Z39" t="s">
        <v>43</v>
      </c>
      <c r="AA39">
        <v>1897</v>
      </c>
      <c r="AB39" t="s">
        <v>40</v>
      </c>
      <c r="AC39" t="s">
        <v>133</v>
      </c>
      <c r="AD39" t="s">
        <v>133</v>
      </c>
    </row>
    <row r="40" spans="1:30" x14ac:dyDescent="0.3">
      <c r="A40">
        <v>555543070</v>
      </c>
      <c r="B40">
        <v>555543070</v>
      </c>
      <c r="C40">
        <v>1</v>
      </c>
      <c r="D40" t="s">
        <v>138</v>
      </c>
      <c r="E40" t="s">
        <v>138</v>
      </c>
      <c r="F40" t="s">
        <v>116</v>
      </c>
      <c r="G40" t="s">
        <v>116</v>
      </c>
      <c r="H40" t="s">
        <v>82</v>
      </c>
      <c r="I40" t="s">
        <v>40</v>
      </c>
      <c r="J40" t="s">
        <v>139</v>
      </c>
      <c r="K40">
        <v>0</v>
      </c>
      <c r="L40">
        <v>0</v>
      </c>
      <c r="M40">
        <v>0</v>
      </c>
      <c r="N40">
        <v>27.34</v>
      </c>
      <c r="O40">
        <v>34.098825314048298</v>
      </c>
      <c r="P40" t="s">
        <v>41</v>
      </c>
      <c r="Q40">
        <v>0</v>
      </c>
      <c r="R40" t="s">
        <v>50</v>
      </c>
      <c r="S40">
        <v>2012</v>
      </c>
      <c r="T40" t="s">
        <v>66</v>
      </c>
      <c r="U40" t="s">
        <v>40</v>
      </c>
      <c r="V40" t="s">
        <v>132</v>
      </c>
      <c r="W40" t="s">
        <v>40</v>
      </c>
      <c r="X40" t="s">
        <v>41</v>
      </c>
      <c r="Y40" t="s">
        <v>41</v>
      </c>
      <c r="Z40" t="s">
        <v>43</v>
      </c>
      <c r="AA40">
        <v>1897</v>
      </c>
      <c r="AB40" t="s">
        <v>40</v>
      </c>
      <c r="AC40" t="s">
        <v>133</v>
      </c>
      <c r="AD40" t="s">
        <v>133</v>
      </c>
    </row>
    <row r="41" spans="1:30" x14ac:dyDescent="0.3">
      <c r="A41">
        <v>903086</v>
      </c>
      <c r="B41">
        <v>903086</v>
      </c>
      <c r="C41">
        <v>1</v>
      </c>
      <c r="D41" t="s">
        <v>136</v>
      </c>
      <c r="E41" t="s">
        <v>136</v>
      </c>
      <c r="F41" t="s">
        <v>116</v>
      </c>
      <c r="G41" t="s">
        <v>116</v>
      </c>
      <c r="H41" t="s">
        <v>82</v>
      </c>
      <c r="I41" t="s">
        <v>40</v>
      </c>
      <c r="J41" t="s">
        <v>140</v>
      </c>
      <c r="K41">
        <v>0</v>
      </c>
      <c r="L41">
        <v>0</v>
      </c>
      <c r="M41">
        <v>0</v>
      </c>
      <c r="N41">
        <v>29.7899999999999</v>
      </c>
      <c r="O41">
        <v>24.032455177563001</v>
      </c>
      <c r="P41" t="s">
        <v>41</v>
      </c>
      <c r="Q41">
        <v>0</v>
      </c>
      <c r="R41" t="s">
        <v>50</v>
      </c>
      <c r="S41">
        <v>2007</v>
      </c>
      <c r="T41" t="s">
        <v>66</v>
      </c>
      <c r="U41" t="s">
        <v>40</v>
      </c>
      <c r="V41" t="s">
        <v>132</v>
      </c>
      <c r="W41" t="s">
        <v>40</v>
      </c>
      <c r="X41" t="s">
        <v>41</v>
      </c>
      <c r="Y41" t="s">
        <v>41</v>
      </c>
      <c r="Z41" t="s">
        <v>43</v>
      </c>
      <c r="AA41">
        <v>1897</v>
      </c>
      <c r="AB41" t="s">
        <v>40</v>
      </c>
      <c r="AC41" t="s">
        <v>133</v>
      </c>
      <c r="AD41" t="s">
        <v>133</v>
      </c>
    </row>
    <row r="42" spans="1:30" x14ac:dyDescent="0.3">
      <c r="A42">
        <v>40423</v>
      </c>
      <c r="B42">
        <v>40423</v>
      </c>
      <c r="C42">
        <v>1</v>
      </c>
      <c r="D42" t="s">
        <v>141</v>
      </c>
      <c r="E42" t="s">
        <v>141</v>
      </c>
      <c r="F42" t="s">
        <v>102</v>
      </c>
      <c r="G42" t="s">
        <v>102</v>
      </c>
      <c r="H42" t="s">
        <v>39</v>
      </c>
      <c r="I42" t="s">
        <v>40</v>
      </c>
      <c r="J42" t="s">
        <v>41</v>
      </c>
      <c r="K42">
        <v>0</v>
      </c>
      <c r="L42">
        <v>0</v>
      </c>
      <c r="M42">
        <v>0</v>
      </c>
      <c r="N42">
        <v>0.31030000000000002</v>
      </c>
      <c r="O42">
        <v>0.31003736640660001</v>
      </c>
      <c r="P42" t="s">
        <v>41</v>
      </c>
      <c r="Q42">
        <v>0</v>
      </c>
      <c r="R42" t="s">
        <v>50</v>
      </c>
      <c r="S42">
        <v>1965</v>
      </c>
      <c r="T42" t="s">
        <v>66</v>
      </c>
      <c r="U42" t="s">
        <v>40</v>
      </c>
      <c r="V42" t="s">
        <v>40</v>
      </c>
      <c r="W42" t="s">
        <v>40</v>
      </c>
      <c r="X42" t="s">
        <v>41</v>
      </c>
      <c r="Y42" t="s">
        <v>41</v>
      </c>
      <c r="Z42" t="s">
        <v>43</v>
      </c>
      <c r="AA42">
        <v>1708</v>
      </c>
      <c r="AB42" t="s">
        <v>40</v>
      </c>
      <c r="AC42" t="s">
        <v>142</v>
      </c>
      <c r="AD42" t="s">
        <v>142</v>
      </c>
    </row>
    <row r="43" spans="1:30" x14ac:dyDescent="0.3">
      <c r="A43">
        <v>40437</v>
      </c>
      <c r="B43">
        <v>40437</v>
      </c>
      <c r="C43">
        <v>1</v>
      </c>
      <c r="D43" t="s">
        <v>143</v>
      </c>
      <c r="E43" t="s">
        <v>143</v>
      </c>
      <c r="F43" t="s">
        <v>102</v>
      </c>
      <c r="G43" t="s">
        <v>102</v>
      </c>
      <c r="H43" t="s">
        <v>39</v>
      </c>
      <c r="I43" t="s">
        <v>40</v>
      </c>
      <c r="J43" t="s">
        <v>41</v>
      </c>
      <c r="K43">
        <v>0</v>
      </c>
      <c r="L43">
        <v>0</v>
      </c>
      <c r="M43">
        <v>0</v>
      </c>
      <c r="N43">
        <v>0.40629999999999999</v>
      </c>
      <c r="O43">
        <v>0.40662456517430901</v>
      </c>
      <c r="P43" t="s">
        <v>41</v>
      </c>
      <c r="Q43">
        <v>0</v>
      </c>
      <c r="R43" t="s">
        <v>50</v>
      </c>
      <c r="S43">
        <v>1948</v>
      </c>
      <c r="T43" t="s">
        <v>66</v>
      </c>
      <c r="U43" t="s">
        <v>40</v>
      </c>
      <c r="V43" t="s">
        <v>40</v>
      </c>
      <c r="W43" t="s">
        <v>40</v>
      </c>
      <c r="X43" t="s">
        <v>41</v>
      </c>
      <c r="Y43" t="s">
        <v>41</v>
      </c>
      <c r="Z43" t="s">
        <v>43</v>
      </c>
      <c r="AA43">
        <v>1708</v>
      </c>
      <c r="AB43" t="s">
        <v>40</v>
      </c>
      <c r="AC43" t="s">
        <v>142</v>
      </c>
      <c r="AD43" t="s">
        <v>142</v>
      </c>
    </row>
    <row r="44" spans="1:30" x14ac:dyDescent="0.3">
      <c r="A44">
        <v>40424</v>
      </c>
      <c r="B44">
        <v>40424</v>
      </c>
      <c r="C44">
        <v>1</v>
      </c>
      <c r="D44" t="s">
        <v>144</v>
      </c>
      <c r="E44" t="s">
        <v>144</v>
      </c>
      <c r="F44" t="s">
        <v>102</v>
      </c>
      <c r="G44" t="s">
        <v>102</v>
      </c>
      <c r="H44" t="s">
        <v>39</v>
      </c>
      <c r="I44" t="s">
        <v>40</v>
      </c>
      <c r="J44" t="s">
        <v>41</v>
      </c>
      <c r="K44">
        <v>0</v>
      </c>
      <c r="L44">
        <v>0</v>
      </c>
      <c r="M44">
        <v>0</v>
      </c>
      <c r="N44">
        <v>1.0323</v>
      </c>
      <c r="O44">
        <v>1.03283463598228</v>
      </c>
      <c r="P44" t="s">
        <v>41</v>
      </c>
      <c r="Q44">
        <v>0</v>
      </c>
      <c r="R44" t="s">
        <v>50</v>
      </c>
      <c r="S44">
        <v>1948</v>
      </c>
      <c r="T44" t="s">
        <v>66</v>
      </c>
      <c r="U44" t="s">
        <v>40</v>
      </c>
      <c r="V44" t="s">
        <v>40</v>
      </c>
      <c r="W44" t="s">
        <v>40</v>
      </c>
      <c r="X44" t="s">
        <v>41</v>
      </c>
      <c r="Y44" t="s">
        <v>41</v>
      </c>
      <c r="Z44" t="s">
        <v>43</v>
      </c>
      <c r="AA44">
        <v>1708</v>
      </c>
      <c r="AB44" t="s">
        <v>40</v>
      </c>
      <c r="AC44" t="s">
        <v>142</v>
      </c>
      <c r="AD44" t="s">
        <v>142</v>
      </c>
    </row>
    <row r="45" spans="1:30" x14ac:dyDescent="0.3">
      <c r="A45">
        <v>40351</v>
      </c>
      <c r="B45">
        <v>40351</v>
      </c>
      <c r="C45">
        <v>1</v>
      </c>
      <c r="D45" t="s">
        <v>145</v>
      </c>
      <c r="E45" t="s">
        <v>145</v>
      </c>
      <c r="F45" t="s">
        <v>102</v>
      </c>
      <c r="G45" t="s">
        <v>102</v>
      </c>
      <c r="H45" t="s">
        <v>39</v>
      </c>
      <c r="I45" t="s">
        <v>40</v>
      </c>
      <c r="J45" t="s">
        <v>41</v>
      </c>
      <c r="K45">
        <v>0</v>
      </c>
      <c r="L45">
        <v>0</v>
      </c>
      <c r="M45">
        <v>0</v>
      </c>
      <c r="N45">
        <v>29.987100000000002</v>
      </c>
      <c r="O45">
        <v>29.987709857115</v>
      </c>
      <c r="P45" t="s">
        <v>41</v>
      </c>
      <c r="Q45">
        <v>0</v>
      </c>
      <c r="R45" t="s">
        <v>50</v>
      </c>
      <c r="S45">
        <v>1940</v>
      </c>
      <c r="T45" t="s">
        <v>66</v>
      </c>
      <c r="U45" t="s">
        <v>40</v>
      </c>
      <c r="V45" t="s">
        <v>40</v>
      </c>
      <c r="W45" t="s">
        <v>40</v>
      </c>
      <c r="X45" t="s">
        <v>41</v>
      </c>
      <c r="Y45" t="s">
        <v>41</v>
      </c>
      <c r="Z45" t="s">
        <v>43</v>
      </c>
      <c r="AA45">
        <v>1708</v>
      </c>
      <c r="AB45" t="s">
        <v>40</v>
      </c>
      <c r="AC45" t="s">
        <v>142</v>
      </c>
      <c r="AD45" t="s">
        <v>142</v>
      </c>
    </row>
    <row r="46" spans="1:30" x14ac:dyDescent="0.3">
      <c r="A46">
        <v>40353</v>
      </c>
      <c r="B46">
        <v>40353</v>
      </c>
      <c r="C46">
        <v>1</v>
      </c>
      <c r="D46" t="s">
        <v>146</v>
      </c>
      <c r="E46" t="s">
        <v>146</v>
      </c>
      <c r="F46" t="s">
        <v>102</v>
      </c>
      <c r="G46" t="s">
        <v>102</v>
      </c>
      <c r="H46" t="s">
        <v>39</v>
      </c>
      <c r="I46" t="s">
        <v>40</v>
      </c>
      <c r="J46" t="s">
        <v>41</v>
      </c>
      <c r="K46">
        <v>0</v>
      </c>
      <c r="L46">
        <v>0</v>
      </c>
      <c r="M46">
        <v>0</v>
      </c>
      <c r="N46">
        <v>6.2687999999999997</v>
      </c>
      <c r="O46">
        <v>6.2676181743791002</v>
      </c>
      <c r="P46" t="s">
        <v>41</v>
      </c>
      <c r="Q46">
        <v>0</v>
      </c>
      <c r="R46" t="s">
        <v>50</v>
      </c>
      <c r="S46">
        <v>1940</v>
      </c>
      <c r="T46" t="s">
        <v>66</v>
      </c>
      <c r="U46" t="s">
        <v>40</v>
      </c>
      <c r="V46" t="s">
        <v>40</v>
      </c>
      <c r="W46" t="s">
        <v>40</v>
      </c>
      <c r="X46" t="s">
        <v>41</v>
      </c>
      <c r="Y46" t="s">
        <v>41</v>
      </c>
      <c r="Z46" t="s">
        <v>43</v>
      </c>
      <c r="AA46">
        <v>1708</v>
      </c>
      <c r="AB46" t="s">
        <v>40</v>
      </c>
      <c r="AC46" t="s">
        <v>142</v>
      </c>
      <c r="AD46" t="s">
        <v>142</v>
      </c>
    </row>
    <row r="47" spans="1:30" x14ac:dyDescent="0.3">
      <c r="A47">
        <v>313430</v>
      </c>
      <c r="B47">
        <v>313430</v>
      </c>
      <c r="C47">
        <v>1</v>
      </c>
      <c r="D47" t="s">
        <v>147</v>
      </c>
      <c r="E47" t="s">
        <v>148</v>
      </c>
      <c r="F47" t="s">
        <v>149</v>
      </c>
      <c r="G47" t="s">
        <v>55</v>
      </c>
      <c r="H47" t="s">
        <v>39</v>
      </c>
      <c r="I47" t="s">
        <v>40</v>
      </c>
      <c r="J47" t="s">
        <v>41</v>
      </c>
      <c r="K47">
        <v>0</v>
      </c>
      <c r="L47">
        <v>0</v>
      </c>
      <c r="M47">
        <v>0</v>
      </c>
      <c r="N47">
        <v>17</v>
      </c>
      <c r="O47">
        <v>53.4275655404522</v>
      </c>
      <c r="P47" t="s">
        <v>41</v>
      </c>
      <c r="Q47">
        <v>0</v>
      </c>
      <c r="R47" t="s">
        <v>50</v>
      </c>
      <c r="S47">
        <v>1937</v>
      </c>
      <c r="T47" t="s">
        <v>40</v>
      </c>
      <c r="U47" t="s">
        <v>40</v>
      </c>
      <c r="V47" t="s">
        <v>150</v>
      </c>
      <c r="W47" t="s">
        <v>40</v>
      </c>
      <c r="X47" t="s">
        <v>41</v>
      </c>
      <c r="Y47" t="s">
        <v>41</v>
      </c>
      <c r="Z47" t="s">
        <v>43</v>
      </c>
      <c r="AA47">
        <v>1988</v>
      </c>
      <c r="AB47" t="s">
        <v>151</v>
      </c>
      <c r="AC47" t="s">
        <v>152</v>
      </c>
      <c r="AD47" t="s">
        <v>152</v>
      </c>
    </row>
    <row r="48" spans="1:30" x14ac:dyDescent="0.3">
      <c r="A48">
        <v>555705197</v>
      </c>
      <c r="B48">
        <v>555705197</v>
      </c>
      <c r="C48">
        <v>1</v>
      </c>
      <c r="D48" t="s">
        <v>153</v>
      </c>
      <c r="E48" t="s">
        <v>154</v>
      </c>
      <c r="F48" t="s">
        <v>149</v>
      </c>
      <c r="G48" t="s">
        <v>55</v>
      </c>
      <c r="H48" t="s">
        <v>39</v>
      </c>
      <c r="I48" t="s">
        <v>124</v>
      </c>
      <c r="J48" t="s">
        <v>41</v>
      </c>
      <c r="K48">
        <v>0</v>
      </c>
      <c r="L48">
        <v>0</v>
      </c>
      <c r="M48">
        <v>0</v>
      </c>
      <c r="N48">
        <v>560</v>
      </c>
      <c r="O48">
        <v>625.45934157978502</v>
      </c>
      <c r="P48" t="s">
        <v>41</v>
      </c>
      <c r="Q48">
        <v>0</v>
      </c>
      <c r="R48" t="s">
        <v>50</v>
      </c>
      <c r="S48">
        <v>1937</v>
      </c>
      <c r="T48" t="s">
        <v>40</v>
      </c>
      <c r="U48" t="s">
        <v>40</v>
      </c>
      <c r="V48" t="s">
        <v>155</v>
      </c>
      <c r="W48" t="s">
        <v>156</v>
      </c>
      <c r="X48" t="s">
        <v>41</v>
      </c>
      <c r="Y48" t="s">
        <v>41</v>
      </c>
      <c r="Z48" t="s">
        <v>43</v>
      </c>
      <c r="AA48">
        <v>1988</v>
      </c>
      <c r="AB48" t="s">
        <v>151</v>
      </c>
      <c r="AC48" t="s">
        <v>152</v>
      </c>
      <c r="AD48" t="s">
        <v>152</v>
      </c>
    </row>
    <row r="49" spans="1:30" x14ac:dyDescent="0.3">
      <c r="A49">
        <v>31458</v>
      </c>
      <c r="B49">
        <v>31458</v>
      </c>
      <c r="C49">
        <v>1</v>
      </c>
      <c r="D49" t="s">
        <v>157</v>
      </c>
      <c r="E49" t="s">
        <v>157</v>
      </c>
      <c r="F49" t="s">
        <v>158</v>
      </c>
      <c r="G49" t="s">
        <v>123</v>
      </c>
      <c r="H49" t="s">
        <v>39</v>
      </c>
      <c r="I49" t="s">
        <v>124</v>
      </c>
      <c r="J49" t="s">
        <v>41</v>
      </c>
      <c r="K49">
        <v>0</v>
      </c>
      <c r="L49">
        <v>0</v>
      </c>
      <c r="M49">
        <v>0</v>
      </c>
      <c r="N49">
        <v>1143.25999999999</v>
      </c>
      <c r="O49">
        <v>1251.3720782898199</v>
      </c>
      <c r="P49" t="s">
        <v>41</v>
      </c>
      <c r="Q49">
        <v>0</v>
      </c>
      <c r="R49" t="s">
        <v>50</v>
      </c>
      <c r="S49">
        <v>1990</v>
      </c>
      <c r="T49" t="s">
        <v>40</v>
      </c>
      <c r="U49" t="s">
        <v>40</v>
      </c>
      <c r="V49" t="s">
        <v>40</v>
      </c>
      <c r="W49" t="s">
        <v>40</v>
      </c>
      <c r="X49" t="s">
        <v>41</v>
      </c>
      <c r="Y49" t="s">
        <v>41</v>
      </c>
      <c r="Z49" t="s">
        <v>40</v>
      </c>
      <c r="AA49">
        <v>1961</v>
      </c>
      <c r="AB49" t="s">
        <v>159</v>
      </c>
      <c r="AC49" t="s">
        <v>160</v>
      </c>
      <c r="AD49" t="s">
        <v>160</v>
      </c>
    </row>
    <row r="50" spans="1:30" x14ac:dyDescent="0.3">
      <c r="A50">
        <v>31459</v>
      </c>
      <c r="B50">
        <v>31459</v>
      </c>
      <c r="C50">
        <v>1</v>
      </c>
      <c r="D50" t="s">
        <v>161</v>
      </c>
      <c r="E50" t="s">
        <v>161</v>
      </c>
      <c r="F50" t="s">
        <v>162</v>
      </c>
      <c r="G50" t="s">
        <v>163</v>
      </c>
      <c r="H50" t="s">
        <v>39</v>
      </c>
      <c r="I50" t="s">
        <v>49</v>
      </c>
      <c r="J50" t="s">
        <v>41</v>
      </c>
      <c r="K50">
        <v>0</v>
      </c>
      <c r="L50">
        <v>0</v>
      </c>
      <c r="M50">
        <v>0</v>
      </c>
      <c r="N50">
        <v>6865.53999999999</v>
      </c>
      <c r="O50">
        <v>3393.1265967345698</v>
      </c>
      <c r="P50" t="s">
        <v>41</v>
      </c>
      <c r="Q50">
        <v>0</v>
      </c>
      <c r="R50" t="s">
        <v>50</v>
      </c>
      <c r="S50">
        <v>1990</v>
      </c>
      <c r="T50" t="s">
        <v>40</v>
      </c>
      <c r="U50" t="s">
        <v>40</v>
      </c>
      <c r="V50" t="s">
        <v>40</v>
      </c>
      <c r="W50" t="s">
        <v>40</v>
      </c>
      <c r="X50" t="s">
        <v>41</v>
      </c>
      <c r="Y50" t="s">
        <v>41</v>
      </c>
      <c r="Z50" t="s">
        <v>40</v>
      </c>
      <c r="AA50">
        <v>1961</v>
      </c>
      <c r="AB50" t="s">
        <v>159</v>
      </c>
      <c r="AC50" t="s">
        <v>160</v>
      </c>
      <c r="AD50" t="s">
        <v>160</v>
      </c>
    </row>
    <row r="51" spans="1:30" x14ac:dyDescent="0.3">
      <c r="A51">
        <v>28527</v>
      </c>
      <c r="B51">
        <v>28527</v>
      </c>
      <c r="C51">
        <v>1</v>
      </c>
      <c r="D51" t="s">
        <v>164</v>
      </c>
      <c r="E51" t="s">
        <v>165</v>
      </c>
      <c r="F51" t="s">
        <v>149</v>
      </c>
      <c r="G51" t="s">
        <v>55</v>
      </c>
      <c r="H51" t="s">
        <v>39</v>
      </c>
      <c r="I51" t="s">
        <v>40</v>
      </c>
      <c r="J51" t="s">
        <v>41</v>
      </c>
      <c r="K51">
        <v>0</v>
      </c>
      <c r="L51">
        <v>0</v>
      </c>
      <c r="M51">
        <v>0</v>
      </c>
      <c r="N51">
        <v>156.25</v>
      </c>
      <c r="O51">
        <v>124.813822667842</v>
      </c>
      <c r="P51" t="s">
        <v>41</v>
      </c>
      <c r="Q51">
        <v>0</v>
      </c>
      <c r="R51" t="s">
        <v>50</v>
      </c>
      <c r="S51">
        <v>1937</v>
      </c>
      <c r="T51" t="s">
        <v>40</v>
      </c>
      <c r="U51" t="s">
        <v>40</v>
      </c>
      <c r="V51" t="s">
        <v>150</v>
      </c>
      <c r="W51" t="s">
        <v>40</v>
      </c>
      <c r="X51" t="s">
        <v>41</v>
      </c>
      <c r="Y51" t="s">
        <v>41</v>
      </c>
      <c r="Z51" t="s">
        <v>43</v>
      </c>
      <c r="AA51">
        <v>1988</v>
      </c>
      <c r="AB51" t="s">
        <v>151</v>
      </c>
      <c r="AC51" t="s">
        <v>152</v>
      </c>
      <c r="AD51" t="s">
        <v>152</v>
      </c>
    </row>
    <row r="52" spans="1:30" x14ac:dyDescent="0.3">
      <c r="A52">
        <v>28529</v>
      </c>
      <c r="B52">
        <v>28529</v>
      </c>
      <c r="C52">
        <v>1</v>
      </c>
      <c r="D52" t="s">
        <v>166</v>
      </c>
      <c r="E52" t="s">
        <v>167</v>
      </c>
      <c r="F52" t="s">
        <v>149</v>
      </c>
      <c r="G52" t="s">
        <v>55</v>
      </c>
      <c r="H52" t="s">
        <v>39</v>
      </c>
      <c r="I52" t="s">
        <v>40</v>
      </c>
      <c r="J52" t="s">
        <v>41</v>
      </c>
      <c r="K52">
        <v>0</v>
      </c>
      <c r="L52">
        <v>0</v>
      </c>
      <c r="M52">
        <v>0</v>
      </c>
      <c r="N52">
        <v>58</v>
      </c>
      <c r="O52">
        <v>135.72910356633099</v>
      </c>
      <c r="P52" t="s">
        <v>41</v>
      </c>
      <c r="Q52">
        <v>0</v>
      </c>
      <c r="R52" t="s">
        <v>50</v>
      </c>
      <c r="S52">
        <v>1940</v>
      </c>
      <c r="T52" t="s">
        <v>40</v>
      </c>
      <c r="U52" t="s">
        <v>40</v>
      </c>
      <c r="V52" t="s">
        <v>150</v>
      </c>
      <c r="W52" t="s">
        <v>40</v>
      </c>
      <c r="X52" t="s">
        <v>41</v>
      </c>
      <c r="Y52" t="s">
        <v>41</v>
      </c>
      <c r="Z52" t="s">
        <v>43</v>
      </c>
      <c r="AA52">
        <v>1988</v>
      </c>
      <c r="AB52" t="s">
        <v>151</v>
      </c>
      <c r="AC52" t="s">
        <v>152</v>
      </c>
      <c r="AD52" t="s">
        <v>152</v>
      </c>
    </row>
    <row r="53" spans="1:30" x14ac:dyDescent="0.3">
      <c r="A53">
        <v>28530</v>
      </c>
      <c r="B53">
        <v>28530</v>
      </c>
      <c r="C53">
        <v>1</v>
      </c>
      <c r="D53" t="s">
        <v>168</v>
      </c>
      <c r="E53" t="s">
        <v>169</v>
      </c>
      <c r="F53" t="s">
        <v>149</v>
      </c>
      <c r="G53" t="s">
        <v>55</v>
      </c>
      <c r="H53" t="s">
        <v>39</v>
      </c>
      <c r="I53" t="s">
        <v>40</v>
      </c>
      <c r="J53" t="s">
        <v>41</v>
      </c>
      <c r="K53">
        <v>0</v>
      </c>
      <c r="L53">
        <v>0</v>
      </c>
      <c r="M53">
        <v>0</v>
      </c>
      <c r="N53">
        <v>215</v>
      </c>
      <c r="O53">
        <v>201.45880808267</v>
      </c>
      <c r="P53" t="s">
        <v>41</v>
      </c>
      <c r="Q53">
        <v>0</v>
      </c>
      <c r="R53" t="s">
        <v>50</v>
      </c>
      <c r="S53">
        <v>1938</v>
      </c>
      <c r="T53" t="s">
        <v>40</v>
      </c>
      <c r="U53" t="s">
        <v>40</v>
      </c>
      <c r="V53" t="s">
        <v>150</v>
      </c>
      <c r="W53" t="s">
        <v>40</v>
      </c>
      <c r="X53" t="s">
        <v>41</v>
      </c>
      <c r="Y53" t="s">
        <v>41</v>
      </c>
      <c r="Z53" t="s">
        <v>43</v>
      </c>
      <c r="AA53">
        <v>1988</v>
      </c>
      <c r="AB53" t="s">
        <v>151</v>
      </c>
      <c r="AC53" t="s">
        <v>152</v>
      </c>
      <c r="AD53" t="s">
        <v>152</v>
      </c>
    </row>
    <row r="54" spans="1:30" x14ac:dyDescent="0.3">
      <c r="A54">
        <v>5166</v>
      </c>
      <c r="B54">
        <v>5166</v>
      </c>
      <c r="C54">
        <v>1</v>
      </c>
      <c r="D54" t="s">
        <v>170</v>
      </c>
      <c r="E54" t="s">
        <v>170</v>
      </c>
      <c r="F54" t="s">
        <v>171</v>
      </c>
      <c r="G54" t="s">
        <v>172</v>
      </c>
      <c r="H54" t="s">
        <v>39</v>
      </c>
      <c r="I54" t="s">
        <v>74</v>
      </c>
      <c r="J54" t="s">
        <v>41</v>
      </c>
      <c r="K54">
        <v>0</v>
      </c>
      <c r="L54">
        <v>0</v>
      </c>
      <c r="M54">
        <v>0</v>
      </c>
      <c r="N54">
        <v>1380</v>
      </c>
      <c r="O54">
        <v>1316.0987136061201</v>
      </c>
      <c r="P54" t="s">
        <v>41</v>
      </c>
      <c r="Q54">
        <v>0</v>
      </c>
      <c r="R54" t="s">
        <v>50</v>
      </c>
      <c r="S54">
        <v>1969</v>
      </c>
      <c r="T54" t="s">
        <v>40</v>
      </c>
      <c r="U54" t="s">
        <v>51</v>
      </c>
      <c r="V54" t="s">
        <v>40</v>
      </c>
      <c r="W54" t="s">
        <v>40</v>
      </c>
      <c r="X54" t="s">
        <v>41</v>
      </c>
      <c r="Y54" t="s">
        <v>41</v>
      </c>
      <c r="Z54" t="s">
        <v>43</v>
      </c>
      <c r="AA54">
        <v>1965</v>
      </c>
      <c r="AB54" t="s">
        <v>173</v>
      </c>
      <c r="AC54" t="s">
        <v>174</v>
      </c>
      <c r="AD54" t="s">
        <v>174</v>
      </c>
    </row>
    <row r="55" spans="1:30" x14ac:dyDescent="0.3">
      <c r="A55">
        <v>1250</v>
      </c>
      <c r="B55">
        <v>1250</v>
      </c>
      <c r="C55">
        <v>1</v>
      </c>
      <c r="D55" t="s">
        <v>175</v>
      </c>
      <c r="E55" t="s">
        <v>176</v>
      </c>
      <c r="F55" t="s">
        <v>171</v>
      </c>
      <c r="G55" t="s">
        <v>172</v>
      </c>
      <c r="H55" t="s">
        <v>39</v>
      </c>
      <c r="I55" t="s">
        <v>74</v>
      </c>
      <c r="J55" t="s">
        <v>41</v>
      </c>
      <c r="K55">
        <v>0</v>
      </c>
      <c r="L55">
        <v>0</v>
      </c>
      <c r="M55">
        <v>0</v>
      </c>
      <c r="N55">
        <v>80000</v>
      </c>
      <c r="O55">
        <v>83032.381785997597</v>
      </c>
      <c r="P55" t="s">
        <v>41</v>
      </c>
      <c r="Q55">
        <v>0</v>
      </c>
      <c r="R55" t="s">
        <v>50</v>
      </c>
      <c r="S55">
        <v>1969</v>
      </c>
      <c r="T55" t="s">
        <v>40</v>
      </c>
      <c r="U55" t="s">
        <v>40</v>
      </c>
      <c r="V55" t="s">
        <v>40</v>
      </c>
      <c r="W55" t="s">
        <v>40</v>
      </c>
      <c r="X55" t="s">
        <v>41</v>
      </c>
      <c r="Y55" t="s">
        <v>41</v>
      </c>
      <c r="Z55" t="s">
        <v>43</v>
      </c>
      <c r="AA55">
        <v>1965</v>
      </c>
      <c r="AB55" t="s">
        <v>177</v>
      </c>
      <c r="AC55" t="s">
        <v>174</v>
      </c>
      <c r="AD55" t="s">
        <v>174</v>
      </c>
    </row>
    <row r="56" spans="1:30" x14ac:dyDescent="0.3">
      <c r="A56">
        <v>198304</v>
      </c>
      <c r="B56">
        <v>198304</v>
      </c>
      <c r="C56">
        <v>1</v>
      </c>
      <c r="D56" t="s">
        <v>178</v>
      </c>
      <c r="E56" t="s">
        <v>178</v>
      </c>
      <c r="F56" t="s">
        <v>116</v>
      </c>
      <c r="G56" t="s">
        <v>116</v>
      </c>
      <c r="H56" t="s">
        <v>82</v>
      </c>
      <c r="I56" t="s">
        <v>40</v>
      </c>
      <c r="J56" t="s">
        <v>179</v>
      </c>
      <c r="K56">
        <v>0</v>
      </c>
      <c r="L56">
        <v>0</v>
      </c>
      <c r="M56">
        <v>0</v>
      </c>
      <c r="N56">
        <v>1.2</v>
      </c>
      <c r="O56">
        <v>0.81511273959765895</v>
      </c>
      <c r="P56" t="s">
        <v>41</v>
      </c>
      <c r="Q56">
        <v>0</v>
      </c>
      <c r="R56" t="s">
        <v>50</v>
      </c>
      <c r="S56">
        <v>1999</v>
      </c>
      <c r="T56" t="s">
        <v>66</v>
      </c>
      <c r="U56" t="s">
        <v>40</v>
      </c>
      <c r="V56" t="s">
        <v>40</v>
      </c>
      <c r="W56" t="s">
        <v>180</v>
      </c>
      <c r="X56" t="s">
        <v>41</v>
      </c>
      <c r="Y56" t="s">
        <v>41</v>
      </c>
      <c r="Z56" t="s">
        <v>43</v>
      </c>
      <c r="AA56">
        <v>1970</v>
      </c>
      <c r="AB56" t="s">
        <v>181</v>
      </c>
      <c r="AC56" t="s">
        <v>182</v>
      </c>
      <c r="AD56" t="s">
        <v>182</v>
      </c>
    </row>
    <row r="57" spans="1:30" x14ac:dyDescent="0.3">
      <c r="A57">
        <v>9741</v>
      </c>
      <c r="B57">
        <v>9741</v>
      </c>
      <c r="C57">
        <v>1</v>
      </c>
      <c r="D57" t="s">
        <v>183</v>
      </c>
      <c r="E57" t="s">
        <v>183</v>
      </c>
      <c r="F57" t="s">
        <v>158</v>
      </c>
      <c r="G57" t="s">
        <v>123</v>
      </c>
      <c r="H57" t="s">
        <v>39</v>
      </c>
      <c r="I57" t="s">
        <v>124</v>
      </c>
      <c r="J57" t="s">
        <v>41</v>
      </c>
      <c r="K57">
        <v>0</v>
      </c>
      <c r="L57">
        <v>32.090000000000003</v>
      </c>
      <c r="M57">
        <v>0.816474975663108</v>
      </c>
      <c r="N57">
        <v>764.37999999999897</v>
      </c>
      <c r="O57">
        <v>776.95382742956804</v>
      </c>
      <c r="P57" t="s">
        <v>41</v>
      </c>
      <c r="Q57">
        <v>0</v>
      </c>
      <c r="R57" t="s">
        <v>50</v>
      </c>
      <c r="S57">
        <v>1983</v>
      </c>
      <c r="T57" t="s">
        <v>66</v>
      </c>
      <c r="U57" t="s">
        <v>51</v>
      </c>
      <c r="V57" t="s">
        <v>184</v>
      </c>
      <c r="W57" t="s">
        <v>185</v>
      </c>
      <c r="X57" t="s">
        <v>41</v>
      </c>
      <c r="Y57" t="s">
        <v>41</v>
      </c>
      <c r="Z57" t="s">
        <v>43</v>
      </c>
      <c r="AA57">
        <v>1970</v>
      </c>
      <c r="AB57" t="s">
        <v>181</v>
      </c>
      <c r="AC57" t="s">
        <v>182</v>
      </c>
      <c r="AD57" t="s">
        <v>182</v>
      </c>
    </row>
    <row r="58" spans="1:30" x14ac:dyDescent="0.3">
      <c r="A58">
        <v>901231</v>
      </c>
      <c r="B58">
        <v>901231</v>
      </c>
      <c r="C58">
        <v>1</v>
      </c>
      <c r="D58" t="s">
        <v>186</v>
      </c>
      <c r="E58" t="s">
        <v>186</v>
      </c>
      <c r="F58" t="s">
        <v>116</v>
      </c>
      <c r="G58" t="s">
        <v>116</v>
      </c>
      <c r="H58" t="s">
        <v>82</v>
      </c>
      <c r="I58" t="s">
        <v>40</v>
      </c>
      <c r="J58" t="s">
        <v>187</v>
      </c>
      <c r="K58">
        <v>0</v>
      </c>
      <c r="L58">
        <v>0</v>
      </c>
      <c r="M58">
        <v>0</v>
      </c>
      <c r="N58">
        <v>89</v>
      </c>
      <c r="O58">
        <v>73.487825443028498</v>
      </c>
      <c r="P58" t="s">
        <v>41</v>
      </c>
      <c r="Q58">
        <v>0</v>
      </c>
      <c r="R58" t="s">
        <v>50</v>
      </c>
      <c r="S58">
        <v>2003</v>
      </c>
      <c r="T58" t="s">
        <v>66</v>
      </c>
      <c r="U58" t="s">
        <v>40</v>
      </c>
      <c r="V58" t="s">
        <v>40</v>
      </c>
      <c r="W58" t="s">
        <v>180</v>
      </c>
      <c r="X58" t="s">
        <v>41</v>
      </c>
      <c r="Y58" t="s">
        <v>41</v>
      </c>
      <c r="Z58" t="s">
        <v>43</v>
      </c>
      <c r="AA58">
        <v>1970</v>
      </c>
      <c r="AB58" t="s">
        <v>181</v>
      </c>
      <c r="AC58" t="s">
        <v>182</v>
      </c>
      <c r="AD58" t="s">
        <v>182</v>
      </c>
    </row>
    <row r="59" spans="1:30" x14ac:dyDescent="0.3">
      <c r="A59">
        <v>555542679</v>
      </c>
      <c r="B59">
        <v>555542679</v>
      </c>
      <c r="C59">
        <v>1</v>
      </c>
      <c r="D59" t="s">
        <v>188</v>
      </c>
      <c r="E59" t="s">
        <v>188</v>
      </c>
      <c r="F59" t="s">
        <v>116</v>
      </c>
      <c r="G59" t="s">
        <v>116</v>
      </c>
      <c r="H59" t="s">
        <v>82</v>
      </c>
      <c r="I59" t="s">
        <v>40</v>
      </c>
      <c r="J59" t="s">
        <v>189</v>
      </c>
      <c r="K59">
        <v>0</v>
      </c>
      <c r="L59">
        <v>0</v>
      </c>
      <c r="M59">
        <v>0</v>
      </c>
      <c r="N59">
        <v>0.59</v>
      </c>
      <c r="O59">
        <v>4.7955106760347999</v>
      </c>
      <c r="P59" t="s">
        <v>41</v>
      </c>
      <c r="Q59">
        <v>0</v>
      </c>
      <c r="R59" t="s">
        <v>50</v>
      </c>
      <c r="S59">
        <v>2009</v>
      </c>
      <c r="T59" t="s">
        <v>66</v>
      </c>
      <c r="U59" t="s">
        <v>40</v>
      </c>
      <c r="V59" t="s">
        <v>40</v>
      </c>
      <c r="W59" t="s">
        <v>180</v>
      </c>
      <c r="X59" t="s">
        <v>41</v>
      </c>
      <c r="Y59" t="s">
        <v>41</v>
      </c>
      <c r="Z59" t="s">
        <v>43</v>
      </c>
      <c r="AA59">
        <v>1970</v>
      </c>
      <c r="AB59" t="s">
        <v>181</v>
      </c>
      <c r="AC59" t="s">
        <v>182</v>
      </c>
      <c r="AD59" t="s">
        <v>182</v>
      </c>
    </row>
    <row r="60" spans="1:30" x14ac:dyDescent="0.3">
      <c r="A60">
        <v>26620</v>
      </c>
      <c r="B60">
        <v>26620</v>
      </c>
      <c r="C60">
        <v>1</v>
      </c>
      <c r="D60" t="s">
        <v>183</v>
      </c>
      <c r="E60" t="s">
        <v>183</v>
      </c>
      <c r="F60" t="s">
        <v>81</v>
      </c>
      <c r="G60" t="s">
        <v>81</v>
      </c>
      <c r="H60" t="s">
        <v>82</v>
      </c>
      <c r="I60" t="s">
        <v>41</v>
      </c>
      <c r="J60" t="s">
        <v>41</v>
      </c>
      <c r="K60">
        <v>0</v>
      </c>
      <c r="L60">
        <v>0</v>
      </c>
      <c r="M60">
        <v>0.81647502692658402</v>
      </c>
      <c r="N60">
        <v>764.37999999999897</v>
      </c>
      <c r="O60">
        <v>776.95382754105503</v>
      </c>
      <c r="P60" t="s">
        <v>41</v>
      </c>
      <c r="Q60">
        <v>0</v>
      </c>
      <c r="R60" t="s">
        <v>50</v>
      </c>
      <c r="S60">
        <v>1990</v>
      </c>
      <c r="T60" t="s">
        <v>40</v>
      </c>
      <c r="U60" t="s">
        <v>51</v>
      </c>
      <c r="V60" t="s">
        <v>184</v>
      </c>
      <c r="W60" t="s">
        <v>40</v>
      </c>
      <c r="X60" t="s">
        <v>41</v>
      </c>
      <c r="Y60" t="s">
        <v>41</v>
      </c>
      <c r="Z60" t="s">
        <v>43</v>
      </c>
      <c r="AA60">
        <v>1970</v>
      </c>
      <c r="AB60" t="s">
        <v>181</v>
      </c>
      <c r="AC60" t="s">
        <v>182</v>
      </c>
      <c r="AD60" t="s">
        <v>182</v>
      </c>
    </row>
    <row r="61" spans="1:30" x14ac:dyDescent="0.3">
      <c r="A61">
        <v>902740</v>
      </c>
      <c r="B61">
        <v>902740</v>
      </c>
      <c r="C61">
        <v>1</v>
      </c>
      <c r="D61" t="s">
        <v>190</v>
      </c>
      <c r="E61" t="s">
        <v>191</v>
      </c>
      <c r="F61" t="s">
        <v>116</v>
      </c>
      <c r="G61" t="s">
        <v>116</v>
      </c>
      <c r="H61" t="s">
        <v>82</v>
      </c>
      <c r="I61" t="s">
        <v>40</v>
      </c>
      <c r="J61" t="s">
        <v>192</v>
      </c>
      <c r="K61">
        <v>0</v>
      </c>
      <c r="L61">
        <v>0</v>
      </c>
      <c r="M61">
        <v>0</v>
      </c>
      <c r="N61">
        <v>1071</v>
      </c>
      <c r="O61">
        <v>58.825845619585401</v>
      </c>
      <c r="P61" t="s">
        <v>41</v>
      </c>
      <c r="Q61">
        <v>0</v>
      </c>
      <c r="R61" t="s">
        <v>50</v>
      </c>
      <c r="S61">
        <v>2005</v>
      </c>
      <c r="T61" t="s">
        <v>66</v>
      </c>
      <c r="U61" t="s">
        <v>51</v>
      </c>
      <c r="V61" t="s">
        <v>193</v>
      </c>
      <c r="W61" t="s">
        <v>194</v>
      </c>
      <c r="X61" t="s">
        <v>41</v>
      </c>
      <c r="Y61" t="s">
        <v>41</v>
      </c>
      <c r="Z61" t="s">
        <v>43</v>
      </c>
      <c r="AA61">
        <v>1856</v>
      </c>
      <c r="AB61" t="s">
        <v>195</v>
      </c>
      <c r="AC61" t="s">
        <v>196</v>
      </c>
      <c r="AD61" t="s">
        <v>196</v>
      </c>
    </row>
    <row r="62" spans="1:30" x14ac:dyDescent="0.3">
      <c r="A62">
        <v>11652</v>
      </c>
      <c r="B62">
        <v>11652</v>
      </c>
      <c r="C62">
        <v>1</v>
      </c>
      <c r="D62" t="s">
        <v>197</v>
      </c>
      <c r="E62" t="s">
        <v>198</v>
      </c>
      <c r="F62" t="s">
        <v>199</v>
      </c>
      <c r="G62" t="s">
        <v>200</v>
      </c>
      <c r="H62" t="s">
        <v>39</v>
      </c>
      <c r="I62" t="s">
        <v>74</v>
      </c>
      <c r="J62" t="s">
        <v>41</v>
      </c>
      <c r="K62">
        <v>0</v>
      </c>
      <c r="L62">
        <v>0</v>
      </c>
      <c r="M62">
        <v>0</v>
      </c>
      <c r="N62">
        <v>3065</v>
      </c>
      <c r="O62">
        <v>5407.8179966088701</v>
      </c>
      <c r="P62" t="s">
        <v>41</v>
      </c>
      <c r="Q62">
        <v>0</v>
      </c>
      <c r="R62" t="s">
        <v>50</v>
      </c>
      <c r="S62">
        <v>1962</v>
      </c>
      <c r="T62" t="s">
        <v>66</v>
      </c>
      <c r="U62" t="s">
        <v>51</v>
      </c>
      <c r="V62" t="s">
        <v>193</v>
      </c>
      <c r="W62" t="s">
        <v>180</v>
      </c>
      <c r="X62" t="s">
        <v>41</v>
      </c>
      <c r="Y62" t="s">
        <v>41</v>
      </c>
      <c r="Z62" t="s">
        <v>43</v>
      </c>
      <c r="AA62">
        <v>1818</v>
      </c>
      <c r="AB62" t="s">
        <v>201</v>
      </c>
      <c r="AC62" t="s">
        <v>196</v>
      </c>
      <c r="AD62" t="s">
        <v>196</v>
      </c>
    </row>
    <row r="63" spans="1:30" x14ac:dyDescent="0.3">
      <c r="A63">
        <v>2415</v>
      </c>
      <c r="B63">
        <v>2415</v>
      </c>
      <c r="C63">
        <v>1</v>
      </c>
      <c r="D63" t="s">
        <v>202</v>
      </c>
      <c r="E63" t="s">
        <v>202</v>
      </c>
      <c r="F63" t="s">
        <v>203</v>
      </c>
      <c r="G63" t="s">
        <v>203</v>
      </c>
      <c r="H63" t="s">
        <v>39</v>
      </c>
      <c r="I63" t="s">
        <v>49</v>
      </c>
      <c r="J63" t="s">
        <v>41</v>
      </c>
      <c r="K63">
        <v>0</v>
      </c>
      <c r="L63">
        <v>0</v>
      </c>
      <c r="M63">
        <v>0</v>
      </c>
      <c r="N63">
        <v>1806</v>
      </c>
      <c r="O63">
        <v>1805.66081277173</v>
      </c>
      <c r="P63" t="s">
        <v>41</v>
      </c>
      <c r="Q63">
        <v>0</v>
      </c>
      <c r="R63" t="s">
        <v>50</v>
      </c>
      <c r="S63">
        <v>1976</v>
      </c>
      <c r="T63" t="s">
        <v>66</v>
      </c>
      <c r="U63" t="s">
        <v>51</v>
      </c>
      <c r="V63" t="s">
        <v>204</v>
      </c>
      <c r="W63" t="s">
        <v>40</v>
      </c>
      <c r="X63" t="s">
        <v>41</v>
      </c>
      <c r="Y63" t="s">
        <v>41</v>
      </c>
      <c r="Z63" t="s">
        <v>43</v>
      </c>
      <c r="AA63">
        <v>933</v>
      </c>
      <c r="AB63" t="s">
        <v>40</v>
      </c>
      <c r="AC63" t="s">
        <v>87</v>
      </c>
      <c r="AD63" t="s">
        <v>87</v>
      </c>
    </row>
    <row r="64" spans="1:30" x14ac:dyDescent="0.3">
      <c r="A64">
        <v>313435</v>
      </c>
      <c r="B64">
        <v>313435</v>
      </c>
      <c r="C64">
        <v>1</v>
      </c>
      <c r="D64" t="s">
        <v>205</v>
      </c>
      <c r="E64" t="s">
        <v>206</v>
      </c>
      <c r="F64" t="s">
        <v>149</v>
      </c>
      <c r="G64" t="s">
        <v>55</v>
      </c>
      <c r="H64" t="s">
        <v>39</v>
      </c>
      <c r="I64" t="s">
        <v>40</v>
      </c>
      <c r="J64" t="s">
        <v>41</v>
      </c>
      <c r="K64">
        <v>0</v>
      </c>
      <c r="L64">
        <v>0</v>
      </c>
      <c r="M64">
        <v>0</v>
      </c>
      <c r="N64">
        <v>120</v>
      </c>
      <c r="O64">
        <v>319.29301497229301</v>
      </c>
      <c r="P64" t="s">
        <v>41</v>
      </c>
      <c r="Q64">
        <v>0</v>
      </c>
      <c r="R64" t="s">
        <v>50</v>
      </c>
      <c r="S64">
        <v>1940</v>
      </c>
      <c r="T64" t="s">
        <v>40</v>
      </c>
      <c r="U64" t="s">
        <v>40</v>
      </c>
      <c r="V64" t="s">
        <v>150</v>
      </c>
      <c r="W64" t="s">
        <v>40</v>
      </c>
      <c r="X64" t="s">
        <v>41</v>
      </c>
      <c r="Y64" t="s">
        <v>41</v>
      </c>
      <c r="Z64" t="s">
        <v>43</v>
      </c>
      <c r="AA64">
        <v>1988</v>
      </c>
      <c r="AB64" t="s">
        <v>207</v>
      </c>
      <c r="AC64" t="s">
        <v>152</v>
      </c>
      <c r="AD64" t="s">
        <v>152</v>
      </c>
    </row>
    <row r="65" spans="1:30" x14ac:dyDescent="0.3">
      <c r="A65">
        <v>2419</v>
      </c>
      <c r="B65">
        <v>2419</v>
      </c>
      <c r="C65">
        <v>1</v>
      </c>
      <c r="D65" t="s">
        <v>208</v>
      </c>
      <c r="E65" t="s">
        <v>208</v>
      </c>
      <c r="F65" t="s">
        <v>203</v>
      </c>
      <c r="G65" t="s">
        <v>203</v>
      </c>
      <c r="H65" t="s">
        <v>39</v>
      </c>
      <c r="I65" t="s">
        <v>124</v>
      </c>
      <c r="J65" t="s">
        <v>41</v>
      </c>
      <c r="K65">
        <v>0</v>
      </c>
      <c r="L65">
        <v>0</v>
      </c>
      <c r="M65">
        <v>0</v>
      </c>
      <c r="N65">
        <v>1091</v>
      </c>
      <c r="O65">
        <v>1085.5524271709801</v>
      </c>
      <c r="P65" t="s">
        <v>41</v>
      </c>
      <c r="Q65">
        <v>0</v>
      </c>
      <c r="R65" t="s">
        <v>50</v>
      </c>
      <c r="S65">
        <v>1979</v>
      </c>
      <c r="T65" t="s">
        <v>66</v>
      </c>
      <c r="U65" t="s">
        <v>51</v>
      </c>
      <c r="V65" t="s">
        <v>204</v>
      </c>
      <c r="W65" t="s">
        <v>40</v>
      </c>
      <c r="X65" t="s">
        <v>41</v>
      </c>
      <c r="Y65" t="s">
        <v>41</v>
      </c>
      <c r="Z65" t="s">
        <v>43</v>
      </c>
      <c r="AA65">
        <v>933</v>
      </c>
      <c r="AB65" t="s">
        <v>40</v>
      </c>
      <c r="AC65" t="s">
        <v>87</v>
      </c>
      <c r="AD65" t="s">
        <v>87</v>
      </c>
    </row>
    <row r="66" spans="1:30" x14ac:dyDescent="0.3">
      <c r="A66">
        <v>19565</v>
      </c>
      <c r="B66">
        <v>19565</v>
      </c>
      <c r="C66">
        <v>1</v>
      </c>
      <c r="D66" t="s">
        <v>209</v>
      </c>
      <c r="E66" t="s">
        <v>209</v>
      </c>
      <c r="F66" t="s">
        <v>123</v>
      </c>
      <c r="G66" t="s">
        <v>123</v>
      </c>
      <c r="H66" t="s">
        <v>39</v>
      </c>
      <c r="I66" t="s">
        <v>40</v>
      </c>
      <c r="J66" t="s">
        <v>41</v>
      </c>
      <c r="K66">
        <v>0</v>
      </c>
      <c r="L66">
        <v>0</v>
      </c>
      <c r="M66">
        <v>0</v>
      </c>
      <c r="N66">
        <v>145</v>
      </c>
      <c r="O66">
        <v>145.100020656623</v>
      </c>
      <c r="P66" t="s">
        <v>41</v>
      </c>
      <c r="Q66">
        <v>0</v>
      </c>
      <c r="R66" t="s">
        <v>42</v>
      </c>
      <c r="S66">
        <v>0</v>
      </c>
      <c r="T66" t="s">
        <v>66</v>
      </c>
      <c r="U66" t="s">
        <v>51</v>
      </c>
      <c r="V66" t="s">
        <v>204</v>
      </c>
      <c r="W66" t="s">
        <v>40</v>
      </c>
      <c r="X66" t="s">
        <v>41</v>
      </c>
      <c r="Y66" t="s">
        <v>41</v>
      </c>
      <c r="Z66" t="s">
        <v>43</v>
      </c>
      <c r="AA66">
        <v>933</v>
      </c>
      <c r="AB66" t="s">
        <v>40</v>
      </c>
      <c r="AC66" t="s">
        <v>87</v>
      </c>
      <c r="AD66" t="s">
        <v>87</v>
      </c>
    </row>
    <row r="67" spans="1:30" x14ac:dyDescent="0.3">
      <c r="A67">
        <v>753</v>
      </c>
      <c r="B67">
        <v>753</v>
      </c>
      <c r="C67">
        <v>1</v>
      </c>
      <c r="D67" t="s">
        <v>209</v>
      </c>
      <c r="E67" t="s">
        <v>209</v>
      </c>
      <c r="F67" t="s">
        <v>203</v>
      </c>
      <c r="G67" t="s">
        <v>203</v>
      </c>
      <c r="H67" t="s">
        <v>39</v>
      </c>
      <c r="I67" t="s">
        <v>40</v>
      </c>
      <c r="J67" t="s">
        <v>41</v>
      </c>
      <c r="K67">
        <v>0</v>
      </c>
      <c r="L67">
        <v>0</v>
      </c>
      <c r="M67">
        <v>0</v>
      </c>
      <c r="N67">
        <v>1122</v>
      </c>
      <c r="O67">
        <v>1384.6331424592199</v>
      </c>
      <c r="P67" t="s">
        <v>41</v>
      </c>
      <c r="Q67">
        <v>0</v>
      </c>
      <c r="R67" t="s">
        <v>42</v>
      </c>
      <c r="S67">
        <v>1967</v>
      </c>
      <c r="T67" t="s">
        <v>66</v>
      </c>
      <c r="U67" t="s">
        <v>51</v>
      </c>
      <c r="V67" t="s">
        <v>204</v>
      </c>
      <c r="W67" t="s">
        <v>40</v>
      </c>
      <c r="X67" t="s">
        <v>41</v>
      </c>
      <c r="Y67" t="s">
        <v>41</v>
      </c>
      <c r="Z67" t="s">
        <v>43</v>
      </c>
      <c r="AA67">
        <v>933</v>
      </c>
      <c r="AB67" t="s">
        <v>40</v>
      </c>
      <c r="AC67" t="s">
        <v>87</v>
      </c>
      <c r="AD67" t="s">
        <v>87</v>
      </c>
    </row>
    <row r="68" spans="1:30" x14ac:dyDescent="0.3">
      <c r="A68">
        <v>26442</v>
      </c>
      <c r="B68">
        <v>26442</v>
      </c>
      <c r="C68">
        <v>1</v>
      </c>
      <c r="D68" t="s">
        <v>210</v>
      </c>
      <c r="E68" t="s">
        <v>210</v>
      </c>
      <c r="F68" t="s">
        <v>102</v>
      </c>
      <c r="G68" t="s">
        <v>102</v>
      </c>
      <c r="H68" t="s">
        <v>39</v>
      </c>
      <c r="I68" t="s">
        <v>74</v>
      </c>
      <c r="J68" t="s">
        <v>41</v>
      </c>
      <c r="K68">
        <v>0</v>
      </c>
      <c r="L68">
        <v>0</v>
      </c>
      <c r="M68">
        <v>0</v>
      </c>
      <c r="N68">
        <v>146.88292440000001</v>
      </c>
      <c r="O68">
        <v>146.68121921692901</v>
      </c>
      <c r="P68" t="s">
        <v>41</v>
      </c>
      <c r="Q68">
        <v>0</v>
      </c>
      <c r="R68" t="s">
        <v>50</v>
      </c>
      <c r="S68">
        <v>1952</v>
      </c>
      <c r="T68" t="s">
        <v>66</v>
      </c>
      <c r="U68" t="s">
        <v>211</v>
      </c>
      <c r="V68" t="s">
        <v>212</v>
      </c>
      <c r="W68" t="s">
        <v>213</v>
      </c>
      <c r="X68" t="s">
        <v>41</v>
      </c>
      <c r="Y68" t="s">
        <v>41</v>
      </c>
      <c r="Z68" t="s">
        <v>43</v>
      </c>
      <c r="AA68">
        <v>1972</v>
      </c>
      <c r="AB68" t="s">
        <v>214</v>
      </c>
      <c r="AC68" t="s">
        <v>215</v>
      </c>
      <c r="AD68" t="s">
        <v>215</v>
      </c>
    </row>
    <row r="69" spans="1:30" x14ac:dyDescent="0.3">
      <c r="A69">
        <v>26567</v>
      </c>
      <c r="B69">
        <v>26567</v>
      </c>
      <c r="C69">
        <v>1</v>
      </c>
      <c r="D69" t="s">
        <v>216</v>
      </c>
      <c r="E69" t="s">
        <v>216</v>
      </c>
      <c r="F69" t="s">
        <v>102</v>
      </c>
      <c r="G69" t="s">
        <v>102</v>
      </c>
      <c r="H69" t="s">
        <v>39</v>
      </c>
      <c r="I69" t="s">
        <v>49</v>
      </c>
      <c r="J69" t="s">
        <v>41</v>
      </c>
      <c r="K69">
        <v>0</v>
      </c>
      <c r="L69">
        <v>0</v>
      </c>
      <c r="M69">
        <v>0</v>
      </c>
      <c r="N69">
        <v>0.75</v>
      </c>
      <c r="O69">
        <v>2.4390472339528202</v>
      </c>
      <c r="P69" t="s">
        <v>41</v>
      </c>
      <c r="Q69">
        <v>0</v>
      </c>
      <c r="R69" t="s">
        <v>50</v>
      </c>
      <c r="S69">
        <v>1954</v>
      </c>
      <c r="T69" t="s">
        <v>66</v>
      </c>
      <c r="U69" t="s">
        <v>211</v>
      </c>
      <c r="V69" t="s">
        <v>212</v>
      </c>
      <c r="W69" t="s">
        <v>213</v>
      </c>
      <c r="X69" t="s">
        <v>41</v>
      </c>
      <c r="Y69" t="s">
        <v>41</v>
      </c>
      <c r="Z69" t="s">
        <v>43</v>
      </c>
      <c r="AA69">
        <v>1972</v>
      </c>
      <c r="AB69" t="s">
        <v>214</v>
      </c>
      <c r="AC69" t="s">
        <v>215</v>
      </c>
      <c r="AD69" t="s">
        <v>215</v>
      </c>
    </row>
    <row r="70" spans="1:30" x14ac:dyDescent="0.3">
      <c r="A70">
        <v>26443</v>
      </c>
      <c r="B70">
        <v>26443</v>
      </c>
      <c r="C70">
        <v>1</v>
      </c>
      <c r="D70" t="s">
        <v>217</v>
      </c>
      <c r="E70" t="s">
        <v>217</v>
      </c>
      <c r="F70" t="s">
        <v>102</v>
      </c>
      <c r="G70" t="s">
        <v>102</v>
      </c>
      <c r="H70" t="s">
        <v>39</v>
      </c>
      <c r="I70" t="s">
        <v>218</v>
      </c>
      <c r="J70" t="s">
        <v>41</v>
      </c>
      <c r="K70">
        <v>0</v>
      </c>
      <c r="L70">
        <v>0</v>
      </c>
      <c r="M70">
        <v>0</v>
      </c>
      <c r="N70">
        <v>127.53</v>
      </c>
      <c r="O70">
        <v>343.92941212785797</v>
      </c>
      <c r="P70" t="s">
        <v>41</v>
      </c>
      <c r="Q70">
        <v>0</v>
      </c>
      <c r="R70" t="s">
        <v>50</v>
      </c>
      <c r="S70">
        <v>1948</v>
      </c>
      <c r="T70" t="s">
        <v>66</v>
      </c>
      <c r="U70" t="s">
        <v>211</v>
      </c>
      <c r="V70" t="s">
        <v>212</v>
      </c>
      <c r="W70" t="s">
        <v>213</v>
      </c>
      <c r="X70" t="s">
        <v>41</v>
      </c>
      <c r="Y70" t="s">
        <v>41</v>
      </c>
      <c r="Z70" t="s">
        <v>43</v>
      </c>
      <c r="AA70">
        <v>1972</v>
      </c>
      <c r="AB70" t="s">
        <v>214</v>
      </c>
      <c r="AC70" t="s">
        <v>215</v>
      </c>
      <c r="AD70" t="s">
        <v>215</v>
      </c>
    </row>
    <row r="71" spans="1:30" x14ac:dyDescent="0.3">
      <c r="A71">
        <v>26447</v>
      </c>
      <c r="B71">
        <v>26447</v>
      </c>
      <c r="C71">
        <v>1</v>
      </c>
      <c r="D71" t="s">
        <v>219</v>
      </c>
      <c r="E71" t="s">
        <v>220</v>
      </c>
      <c r="F71" t="s">
        <v>102</v>
      </c>
      <c r="G71" t="s">
        <v>102</v>
      </c>
      <c r="H71" t="s">
        <v>39</v>
      </c>
      <c r="I71" t="s">
        <v>49</v>
      </c>
      <c r="J71" t="s">
        <v>41</v>
      </c>
      <c r="K71">
        <v>0</v>
      </c>
      <c r="L71">
        <v>0</v>
      </c>
      <c r="M71">
        <v>0</v>
      </c>
      <c r="N71">
        <v>88.06</v>
      </c>
      <c r="O71">
        <v>115.274607175385</v>
      </c>
      <c r="P71" t="s">
        <v>41</v>
      </c>
      <c r="Q71">
        <v>0</v>
      </c>
      <c r="R71" t="s">
        <v>50</v>
      </c>
      <c r="S71">
        <v>1954</v>
      </c>
      <c r="T71" t="s">
        <v>66</v>
      </c>
      <c r="U71" t="s">
        <v>211</v>
      </c>
      <c r="V71" t="s">
        <v>212</v>
      </c>
      <c r="W71" t="s">
        <v>213</v>
      </c>
      <c r="X71" t="s">
        <v>41</v>
      </c>
      <c r="Y71" t="s">
        <v>41</v>
      </c>
      <c r="Z71" t="s">
        <v>43</v>
      </c>
      <c r="AA71">
        <v>1972</v>
      </c>
      <c r="AB71" t="s">
        <v>214</v>
      </c>
      <c r="AC71" t="s">
        <v>215</v>
      </c>
      <c r="AD71" t="s">
        <v>215</v>
      </c>
    </row>
    <row r="72" spans="1:30" x14ac:dyDescent="0.3">
      <c r="A72">
        <v>303936</v>
      </c>
      <c r="B72">
        <v>303936</v>
      </c>
      <c r="C72">
        <v>1</v>
      </c>
      <c r="D72" t="s">
        <v>221</v>
      </c>
      <c r="E72" t="s">
        <v>221</v>
      </c>
      <c r="F72" t="s">
        <v>102</v>
      </c>
      <c r="G72" t="s">
        <v>102</v>
      </c>
      <c r="H72" t="s">
        <v>39</v>
      </c>
      <c r="I72" t="s">
        <v>49</v>
      </c>
      <c r="J72" t="s">
        <v>41</v>
      </c>
      <c r="K72">
        <v>0</v>
      </c>
      <c r="L72">
        <v>0</v>
      </c>
      <c r="M72">
        <v>0</v>
      </c>
      <c r="N72">
        <v>1.1068844410000001</v>
      </c>
      <c r="O72">
        <v>1.100011797401</v>
      </c>
      <c r="P72" t="s">
        <v>41</v>
      </c>
      <c r="Q72">
        <v>0</v>
      </c>
      <c r="R72" t="s">
        <v>50</v>
      </c>
      <c r="S72">
        <v>0</v>
      </c>
      <c r="T72" t="s">
        <v>66</v>
      </c>
      <c r="U72" t="s">
        <v>211</v>
      </c>
      <c r="V72" t="s">
        <v>212</v>
      </c>
      <c r="W72" t="s">
        <v>213</v>
      </c>
      <c r="X72" t="s">
        <v>41</v>
      </c>
      <c r="Y72" t="s">
        <v>41</v>
      </c>
      <c r="Z72" t="s">
        <v>43</v>
      </c>
      <c r="AA72">
        <v>1972</v>
      </c>
      <c r="AB72" t="s">
        <v>222</v>
      </c>
      <c r="AC72" t="s">
        <v>215</v>
      </c>
      <c r="AD72" t="s">
        <v>215</v>
      </c>
    </row>
    <row r="73" spans="1:30" x14ac:dyDescent="0.3">
      <c r="A73">
        <v>20977</v>
      </c>
      <c r="B73">
        <v>20977</v>
      </c>
      <c r="C73">
        <v>1</v>
      </c>
      <c r="D73" t="s">
        <v>223</v>
      </c>
      <c r="E73" t="s">
        <v>223</v>
      </c>
      <c r="F73" t="s">
        <v>172</v>
      </c>
      <c r="G73" t="s">
        <v>172</v>
      </c>
      <c r="H73" t="s">
        <v>39</v>
      </c>
      <c r="I73" t="s">
        <v>74</v>
      </c>
      <c r="J73" t="s">
        <v>41</v>
      </c>
      <c r="K73">
        <v>0</v>
      </c>
      <c r="L73">
        <v>0</v>
      </c>
      <c r="M73">
        <v>0</v>
      </c>
      <c r="N73">
        <v>7.65</v>
      </c>
      <c r="O73">
        <v>8.5471800752688303</v>
      </c>
      <c r="P73" t="s">
        <v>41</v>
      </c>
      <c r="Q73">
        <v>0</v>
      </c>
      <c r="R73" t="s">
        <v>50</v>
      </c>
      <c r="S73">
        <v>1959</v>
      </c>
      <c r="T73" t="s">
        <v>66</v>
      </c>
      <c r="U73" t="s">
        <v>40</v>
      </c>
      <c r="V73" t="s">
        <v>40</v>
      </c>
      <c r="W73" t="s">
        <v>224</v>
      </c>
      <c r="X73" t="s">
        <v>41</v>
      </c>
      <c r="Y73" t="s">
        <v>41</v>
      </c>
      <c r="Z73" t="s">
        <v>43</v>
      </c>
      <c r="AA73">
        <v>1973</v>
      </c>
      <c r="AB73" t="s">
        <v>225</v>
      </c>
      <c r="AC73" t="s">
        <v>226</v>
      </c>
      <c r="AD73" t="s">
        <v>226</v>
      </c>
    </row>
    <row r="74" spans="1:30" x14ac:dyDescent="0.3">
      <c r="A74">
        <v>555703406</v>
      </c>
      <c r="B74">
        <v>555703406</v>
      </c>
      <c r="C74">
        <v>1</v>
      </c>
      <c r="D74" t="s">
        <v>227</v>
      </c>
      <c r="E74" t="s">
        <v>227</v>
      </c>
      <c r="F74" t="s">
        <v>228</v>
      </c>
      <c r="G74" t="s">
        <v>229</v>
      </c>
      <c r="H74" t="s">
        <v>39</v>
      </c>
      <c r="I74" t="s">
        <v>74</v>
      </c>
      <c r="J74" t="s">
        <v>41</v>
      </c>
      <c r="K74">
        <v>0</v>
      </c>
      <c r="L74">
        <v>0</v>
      </c>
      <c r="M74">
        <v>0</v>
      </c>
      <c r="N74">
        <v>124.9</v>
      </c>
      <c r="O74">
        <v>161.179979480203</v>
      </c>
      <c r="P74" t="s">
        <v>41</v>
      </c>
      <c r="Q74">
        <v>0</v>
      </c>
      <c r="R74" t="s">
        <v>50</v>
      </c>
      <c r="S74">
        <v>2005</v>
      </c>
      <c r="T74" t="s">
        <v>66</v>
      </c>
      <c r="U74" t="s">
        <v>40</v>
      </c>
      <c r="V74" t="s">
        <v>230</v>
      </c>
      <c r="W74" t="s">
        <v>68</v>
      </c>
      <c r="X74" t="s">
        <v>41</v>
      </c>
      <c r="Y74" t="s">
        <v>41</v>
      </c>
      <c r="Z74" t="s">
        <v>43</v>
      </c>
      <c r="AA74">
        <v>1973</v>
      </c>
      <c r="AB74" t="s">
        <v>231</v>
      </c>
      <c r="AC74" t="s">
        <v>226</v>
      </c>
      <c r="AD74" t="s">
        <v>226</v>
      </c>
    </row>
    <row r="75" spans="1:30" x14ac:dyDescent="0.3">
      <c r="A75">
        <v>37146</v>
      </c>
      <c r="B75">
        <v>37146</v>
      </c>
      <c r="C75">
        <v>1</v>
      </c>
      <c r="D75" t="s">
        <v>232</v>
      </c>
      <c r="E75" t="s">
        <v>232</v>
      </c>
      <c r="F75" t="s">
        <v>102</v>
      </c>
      <c r="G75" t="s">
        <v>102</v>
      </c>
      <c r="H75" t="s">
        <v>39</v>
      </c>
      <c r="I75" t="s">
        <v>40</v>
      </c>
      <c r="J75" t="s">
        <v>41</v>
      </c>
      <c r="K75">
        <v>0</v>
      </c>
      <c r="L75">
        <v>0</v>
      </c>
      <c r="M75">
        <v>0</v>
      </c>
      <c r="N75">
        <v>5</v>
      </c>
      <c r="O75">
        <v>7.9449010036929097</v>
      </c>
      <c r="P75" t="s">
        <v>41</v>
      </c>
      <c r="Q75">
        <v>0</v>
      </c>
      <c r="R75" t="s">
        <v>50</v>
      </c>
      <c r="S75">
        <v>1954</v>
      </c>
      <c r="T75" t="s">
        <v>66</v>
      </c>
      <c r="U75" t="s">
        <v>40</v>
      </c>
      <c r="V75" t="s">
        <v>230</v>
      </c>
      <c r="W75" t="s">
        <v>68</v>
      </c>
      <c r="X75" t="s">
        <v>41</v>
      </c>
      <c r="Y75" t="s">
        <v>41</v>
      </c>
      <c r="Z75" t="s">
        <v>43</v>
      </c>
      <c r="AA75">
        <v>1973</v>
      </c>
      <c r="AB75" t="s">
        <v>225</v>
      </c>
      <c r="AC75" t="s">
        <v>226</v>
      </c>
      <c r="AD75" t="s">
        <v>226</v>
      </c>
    </row>
    <row r="76" spans="1:30" x14ac:dyDescent="0.3">
      <c r="A76">
        <v>37180</v>
      </c>
      <c r="B76">
        <v>37180</v>
      </c>
      <c r="C76">
        <v>1</v>
      </c>
      <c r="D76" t="s">
        <v>233</v>
      </c>
      <c r="E76" t="s">
        <v>233</v>
      </c>
      <c r="F76" t="s">
        <v>102</v>
      </c>
      <c r="G76" t="s">
        <v>102</v>
      </c>
      <c r="H76" t="s">
        <v>39</v>
      </c>
      <c r="I76" t="s">
        <v>40</v>
      </c>
      <c r="J76" t="s">
        <v>41</v>
      </c>
      <c r="K76">
        <v>0</v>
      </c>
      <c r="L76">
        <v>0</v>
      </c>
      <c r="M76">
        <v>0</v>
      </c>
      <c r="N76">
        <v>15.15</v>
      </c>
      <c r="O76">
        <v>17.900024316679101</v>
      </c>
      <c r="P76" t="s">
        <v>41</v>
      </c>
      <c r="Q76">
        <v>0</v>
      </c>
      <c r="R76" t="s">
        <v>50</v>
      </c>
      <c r="S76">
        <v>1939</v>
      </c>
      <c r="T76" t="s">
        <v>66</v>
      </c>
      <c r="U76" t="s">
        <v>40</v>
      </c>
      <c r="V76" t="s">
        <v>230</v>
      </c>
      <c r="W76" t="s">
        <v>234</v>
      </c>
      <c r="X76" t="s">
        <v>41</v>
      </c>
      <c r="Y76" t="s">
        <v>41</v>
      </c>
      <c r="Z76" t="s">
        <v>43</v>
      </c>
      <c r="AA76">
        <v>1973</v>
      </c>
      <c r="AB76" t="s">
        <v>235</v>
      </c>
      <c r="AC76" t="s">
        <v>226</v>
      </c>
      <c r="AD76" t="s">
        <v>226</v>
      </c>
    </row>
    <row r="77" spans="1:30" x14ac:dyDescent="0.3">
      <c r="A77">
        <v>2342</v>
      </c>
      <c r="B77">
        <v>2342</v>
      </c>
      <c r="C77">
        <v>1</v>
      </c>
      <c r="D77" t="s">
        <v>236</v>
      </c>
      <c r="E77" t="s">
        <v>236</v>
      </c>
      <c r="F77" t="s">
        <v>158</v>
      </c>
      <c r="G77" t="s">
        <v>123</v>
      </c>
      <c r="H77" t="s">
        <v>39</v>
      </c>
      <c r="I77" t="s">
        <v>124</v>
      </c>
      <c r="J77" t="s">
        <v>41</v>
      </c>
      <c r="K77">
        <v>0</v>
      </c>
      <c r="L77">
        <v>0</v>
      </c>
      <c r="M77">
        <v>0</v>
      </c>
      <c r="N77">
        <v>16.5</v>
      </c>
      <c r="O77">
        <v>32.611140824229899</v>
      </c>
      <c r="P77" t="s">
        <v>41</v>
      </c>
      <c r="Q77">
        <v>0</v>
      </c>
      <c r="R77" t="s">
        <v>50</v>
      </c>
      <c r="S77">
        <v>1954</v>
      </c>
      <c r="T77" t="s">
        <v>66</v>
      </c>
      <c r="U77" t="s">
        <v>40</v>
      </c>
      <c r="V77" t="s">
        <v>230</v>
      </c>
      <c r="W77" t="s">
        <v>68</v>
      </c>
      <c r="X77" t="s">
        <v>41</v>
      </c>
      <c r="Y77" t="s">
        <v>41</v>
      </c>
      <c r="Z77" t="s">
        <v>43</v>
      </c>
      <c r="AA77">
        <v>1973</v>
      </c>
      <c r="AB77" t="s">
        <v>231</v>
      </c>
      <c r="AC77" t="s">
        <v>226</v>
      </c>
      <c r="AD77" t="s">
        <v>226</v>
      </c>
    </row>
    <row r="78" spans="1:30" x14ac:dyDescent="0.3">
      <c r="A78">
        <v>37175</v>
      </c>
      <c r="B78">
        <v>37175</v>
      </c>
      <c r="C78">
        <v>1</v>
      </c>
      <c r="D78" t="s">
        <v>237</v>
      </c>
      <c r="E78" t="s">
        <v>237</v>
      </c>
      <c r="F78" t="s">
        <v>102</v>
      </c>
      <c r="G78" t="s">
        <v>102</v>
      </c>
      <c r="H78" t="s">
        <v>39</v>
      </c>
      <c r="I78" t="s">
        <v>40</v>
      </c>
      <c r="J78" t="s">
        <v>41</v>
      </c>
      <c r="K78">
        <v>0</v>
      </c>
      <c r="L78">
        <v>0</v>
      </c>
      <c r="M78">
        <v>0</v>
      </c>
      <c r="N78">
        <v>3.21</v>
      </c>
      <c r="O78">
        <v>2.5738531302188301</v>
      </c>
      <c r="P78" t="s">
        <v>41</v>
      </c>
      <c r="Q78">
        <v>0</v>
      </c>
      <c r="R78" t="s">
        <v>50</v>
      </c>
      <c r="S78">
        <v>1951</v>
      </c>
      <c r="T78" t="s">
        <v>66</v>
      </c>
      <c r="U78" t="s">
        <v>40</v>
      </c>
      <c r="V78" t="s">
        <v>40</v>
      </c>
      <c r="W78" t="s">
        <v>40</v>
      </c>
      <c r="X78" t="s">
        <v>41</v>
      </c>
      <c r="Y78" t="s">
        <v>41</v>
      </c>
      <c r="Z78" t="s">
        <v>43</v>
      </c>
      <c r="AA78">
        <v>1973</v>
      </c>
      <c r="AB78" t="s">
        <v>235</v>
      </c>
      <c r="AC78" t="s">
        <v>226</v>
      </c>
      <c r="AD78" t="s">
        <v>226</v>
      </c>
    </row>
    <row r="79" spans="1:30" x14ac:dyDescent="0.3">
      <c r="A79">
        <v>37133</v>
      </c>
      <c r="B79">
        <v>37133</v>
      </c>
      <c r="C79">
        <v>1</v>
      </c>
      <c r="D79" t="s">
        <v>238</v>
      </c>
      <c r="E79" t="s">
        <v>238</v>
      </c>
      <c r="F79" t="s">
        <v>102</v>
      </c>
      <c r="G79" t="s">
        <v>102</v>
      </c>
      <c r="H79" t="s">
        <v>39</v>
      </c>
      <c r="I79" t="s">
        <v>40</v>
      </c>
      <c r="J79" t="s">
        <v>41</v>
      </c>
      <c r="K79">
        <v>0</v>
      </c>
      <c r="L79">
        <v>0</v>
      </c>
      <c r="M79">
        <v>0</v>
      </c>
      <c r="N79">
        <v>20</v>
      </c>
      <c r="O79">
        <v>27.352632683251201</v>
      </c>
      <c r="P79" t="s">
        <v>41</v>
      </c>
      <c r="Q79">
        <v>0</v>
      </c>
      <c r="R79" t="s">
        <v>50</v>
      </c>
      <c r="S79">
        <v>1954</v>
      </c>
      <c r="T79" t="s">
        <v>66</v>
      </c>
      <c r="U79" t="s">
        <v>40</v>
      </c>
      <c r="V79" t="s">
        <v>230</v>
      </c>
      <c r="W79" t="s">
        <v>68</v>
      </c>
      <c r="X79" t="s">
        <v>41</v>
      </c>
      <c r="Y79" t="s">
        <v>41</v>
      </c>
      <c r="Z79" t="s">
        <v>43</v>
      </c>
      <c r="AA79">
        <v>1973</v>
      </c>
      <c r="AB79" t="s">
        <v>231</v>
      </c>
      <c r="AC79" t="s">
        <v>226</v>
      </c>
      <c r="AD79" t="s">
        <v>226</v>
      </c>
    </row>
    <row r="80" spans="1:30" x14ac:dyDescent="0.3">
      <c r="A80">
        <v>2339</v>
      </c>
      <c r="B80">
        <v>2339</v>
      </c>
      <c r="C80">
        <v>1</v>
      </c>
      <c r="D80" t="s">
        <v>239</v>
      </c>
      <c r="E80" t="s">
        <v>239</v>
      </c>
      <c r="F80" t="s">
        <v>158</v>
      </c>
      <c r="G80" t="s">
        <v>123</v>
      </c>
      <c r="H80" t="s">
        <v>39</v>
      </c>
      <c r="I80" t="s">
        <v>124</v>
      </c>
      <c r="J80" t="s">
        <v>41</v>
      </c>
      <c r="K80">
        <v>0</v>
      </c>
      <c r="L80">
        <v>0</v>
      </c>
      <c r="M80">
        <v>0</v>
      </c>
      <c r="N80">
        <v>1636.4</v>
      </c>
      <c r="O80">
        <v>841.88414946492605</v>
      </c>
      <c r="P80" t="s">
        <v>41</v>
      </c>
      <c r="Q80">
        <v>0</v>
      </c>
      <c r="R80" t="s">
        <v>50</v>
      </c>
      <c r="S80">
        <v>1977</v>
      </c>
      <c r="T80" t="s">
        <v>66</v>
      </c>
      <c r="U80" t="s">
        <v>40</v>
      </c>
      <c r="V80" t="s">
        <v>230</v>
      </c>
      <c r="W80" t="s">
        <v>68</v>
      </c>
      <c r="X80" t="s">
        <v>41</v>
      </c>
      <c r="Y80" t="s">
        <v>41</v>
      </c>
      <c r="Z80" t="s">
        <v>43</v>
      </c>
      <c r="AA80">
        <v>1973</v>
      </c>
      <c r="AB80" t="s">
        <v>240</v>
      </c>
      <c r="AC80" t="s">
        <v>226</v>
      </c>
      <c r="AD80" t="s">
        <v>226</v>
      </c>
    </row>
    <row r="81" spans="1:30" x14ac:dyDescent="0.3">
      <c r="A81">
        <v>300726</v>
      </c>
      <c r="B81">
        <v>300726</v>
      </c>
      <c r="C81">
        <v>1</v>
      </c>
      <c r="D81" t="s">
        <v>241</v>
      </c>
      <c r="E81" t="s">
        <v>241</v>
      </c>
      <c r="F81" t="s">
        <v>102</v>
      </c>
      <c r="G81" t="s">
        <v>102</v>
      </c>
      <c r="H81" t="s">
        <v>39</v>
      </c>
      <c r="I81" t="s">
        <v>40</v>
      </c>
      <c r="J81" t="s">
        <v>41</v>
      </c>
      <c r="K81">
        <v>0</v>
      </c>
      <c r="L81">
        <v>0</v>
      </c>
      <c r="M81">
        <v>0</v>
      </c>
      <c r="N81">
        <v>9.5</v>
      </c>
      <c r="O81">
        <v>8.9633207665896606</v>
      </c>
      <c r="P81" t="s">
        <v>41</v>
      </c>
      <c r="Q81">
        <v>0</v>
      </c>
      <c r="R81" t="s">
        <v>50</v>
      </c>
      <c r="S81">
        <v>2005</v>
      </c>
      <c r="T81" t="s">
        <v>66</v>
      </c>
      <c r="U81" t="s">
        <v>40</v>
      </c>
      <c r="V81" t="s">
        <v>230</v>
      </c>
      <c r="W81" t="s">
        <v>68</v>
      </c>
      <c r="X81" t="s">
        <v>41</v>
      </c>
      <c r="Y81" t="s">
        <v>41</v>
      </c>
      <c r="Z81" t="s">
        <v>43</v>
      </c>
      <c r="AA81">
        <v>1973</v>
      </c>
      <c r="AB81" t="s">
        <v>231</v>
      </c>
      <c r="AC81" t="s">
        <v>226</v>
      </c>
      <c r="AD81" t="s">
        <v>226</v>
      </c>
    </row>
    <row r="82" spans="1:30" x14ac:dyDescent="0.3">
      <c r="A82">
        <v>95397</v>
      </c>
      <c r="B82">
        <v>95397</v>
      </c>
      <c r="C82">
        <v>1</v>
      </c>
      <c r="D82" t="s">
        <v>242</v>
      </c>
      <c r="E82" t="s">
        <v>242</v>
      </c>
      <c r="F82" t="s">
        <v>116</v>
      </c>
      <c r="G82" t="s">
        <v>116</v>
      </c>
      <c r="H82" t="s">
        <v>82</v>
      </c>
      <c r="I82" t="s">
        <v>40</v>
      </c>
      <c r="J82" t="s">
        <v>40</v>
      </c>
      <c r="K82">
        <v>0</v>
      </c>
      <c r="L82">
        <v>0</v>
      </c>
      <c r="M82">
        <v>0</v>
      </c>
      <c r="N82">
        <v>1634</v>
      </c>
      <c r="O82">
        <v>850.88125266506995</v>
      </c>
      <c r="P82" t="s">
        <v>41</v>
      </c>
      <c r="Q82">
        <v>0</v>
      </c>
      <c r="R82" t="s">
        <v>50</v>
      </c>
      <c r="S82">
        <v>1995</v>
      </c>
      <c r="T82" t="s">
        <v>66</v>
      </c>
      <c r="U82" t="s">
        <v>40</v>
      </c>
      <c r="V82" t="s">
        <v>230</v>
      </c>
      <c r="W82" t="s">
        <v>243</v>
      </c>
      <c r="X82" t="s">
        <v>41</v>
      </c>
      <c r="Y82" t="s">
        <v>41</v>
      </c>
      <c r="Z82" t="s">
        <v>43</v>
      </c>
      <c r="AA82">
        <v>1856</v>
      </c>
      <c r="AB82" t="s">
        <v>240</v>
      </c>
      <c r="AC82" t="s">
        <v>226</v>
      </c>
      <c r="AD82" t="s">
        <v>226</v>
      </c>
    </row>
    <row r="83" spans="1:30" x14ac:dyDescent="0.3">
      <c r="A83">
        <v>23177</v>
      </c>
      <c r="B83">
        <v>23177</v>
      </c>
      <c r="C83">
        <v>0</v>
      </c>
      <c r="D83" t="s">
        <v>244</v>
      </c>
      <c r="E83" t="s">
        <v>245</v>
      </c>
      <c r="F83" t="s">
        <v>246</v>
      </c>
      <c r="G83" t="s">
        <v>247</v>
      </c>
      <c r="H83" t="s">
        <v>39</v>
      </c>
      <c r="I83" t="s">
        <v>41</v>
      </c>
      <c r="J83" t="s">
        <v>41</v>
      </c>
      <c r="K83">
        <v>0</v>
      </c>
      <c r="L83">
        <v>0</v>
      </c>
      <c r="M83">
        <v>0</v>
      </c>
      <c r="N83">
        <v>633887</v>
      </c>
      <c r="O83">
        <v>542178.80973082804</v>
      </c>
      <c r="P83" t="s">
        <v>41</v>
      </c>
      <c r="Q83">
        <v>0</v>
      </c>
      <c r="R83" t="s">
        <v>50</v>
      </c>
      <c r="S83">
        <v>1987</v>
      </c>
      <c r="T83" t="s">
        <v>66</v>
      </c>
      <c r="U83" t="s">
        <v>51</v>
      </c>
      <c r="V83" t="s">
        <v>248</v>
      </c>
      <c r="W83" t="s">
        <v>249</v>
      </c>
      <c r="X83" t="s">
        <v>250</v>
      </c>
      <c r="Y83" t="s">
        <v>251</v>
      </c>
      <c r="Z83" t="s">
        <v>43</v>
      </c>
      <c r="AA83">
        <v>1989</v>
      </c>
      <c r="AB83" t="s">
        <v>252</v>
      </c>
      <c r="AC83" t="s">
        <v>182</v>
      </c>
      <c r="AD83" t="s">
        <v>182</v>
      </c>
    </row>
    <row r="84" spans="1:30" x14ac:dyDescent="0.3">
      <c r="A84">
        <v>555703773</v>
      </c>
      <c r="B84">
        <v>555703773</v>
      </c>
      <c r="C84">
        <v>1</v>
      </c>
      <c r="D84" t="s">
        <v>253</v>
      </c>
      <c r="E84" t="s">
        <v>254</v>
      </c>
      <c r="F84" t="s">
        <v>149</v>
      </c>
      <c r="G84" t="s">
        <v>55</v>
      </c>
      <c r="H84" t="s">
        <v>39</v>
      </c>
      <c r="I84" t="s">
        <v>74</v>
      </c>
      <c r="J84" t="s">
        <v>41</v>
      </c>
      <c r="K84">
        <v>0</v>
      </c>
      <c r="L84">
        <v>0</v>
      </c>
      <c r="M84">
        <v>0</v>
      </c>
      <c r="N84">
        <v>139</v>
      </c>
      <c r="O84">
        <v>139.41834283513001</v>
      </c>
      <c r="P84" t="s">
        <v>41</v>
      </c>
      <c r="Q84">
        <v>0</v>
      </c>
      <c r="R84" t="s">
        <v>50</v>
      </c>
      <c r="S84">
        <v>1941</v>
      </c>
      <c r="T84" t="s">
        <v>66</v>
      </c>
      <c r="U84" t="s">
        <v>40</v>
      </c>
      <c r="V84" t="s">
        <v>51</v>
      </c>
      <c r="W84" t="s">
        <v>68</v>
      </c>
      <c r="X84" t="s">
        <v>41</v>
      </c>
      <c r="Y84" t="s">
        <v>41</v>
      </c>
      <c r="Z84" t="s">
        <v>43</v>
      </c>
      <c r="AA84">
        <v>1984</v>
      </c>
      <c r="AB84" t="s">
        <v>255</v>
      </c>
      <c r="AC84" t="s">
        <v>256</v>
      </c>
      <c r="AD84" t="s">
        <v>256</v>
      </c>
    </row>
    <row r="85" spans="1:30" x14ac:dyDescent="0.3">
      <c r="A85">
        <v>555703767</v>
      </c>
      <c r="B85">
        <v>555703767</v>
      </c>
      <c r="C85">
        <v>1</v>
      </c>
      <c r="D85" t="s">
        <v>257</v>
      </c>
      <c r="E85" t="s">
        <v>258</v>
      </c>
      <c r="F85" t="s">
        <v>149</v>
      </c>
      <c r="G85" t="s">
        <v>55</v>
      </c>
      <c r="H85" t="s">
        <v>39</v>
      </c>
      <c r="I85" t="s">
        <v>74</v>
      </c>
      <c r="J85" t="s">
        <v>41</v>
      </c>
      <c r="K85">
        <v>0</v>
      </c>
      <c r="L85">
        <v>0</v>
      </c>
      <c r="M85">
        <v>0</v>
      </c>
      <c r="N85">
        <v>430</v>
      </c>
      <c r="O85">
        <v>430.32496073236803</v>
      </c>
      <c r="P85" t="s">
        <v>41</v>
      </c>
      <c r="Q85">
        <v>0</v>
      </c>
      <c r="R85" t="s">
        <v>50</v>
      </c>
      <c r="S85">
        <v>1948</v>
      </c>
      <c r="T85" t="s">
        <v>66</v>
      </c>
      <c r="U85" t="s">
        <v>40</v>
      </c>
      <c r="V85" t="s">
        <v>51</v>
      </c>
      <c r="W85" t="s">
        <v>68</v>
      </c>
      <c r="X85" t="s">
        <v>41</v>
      </c>
      <c r="Y85" t="s">
        <v>41</v>
      </c>
      <c r="Z85" t="s">
        <v>43</v>
      </c>
      <c r="AA85">
        <v>1984</v>
      </c>
      <c r="AB85" t="s">
        <v>255</v>
      </c>
      <c r="AC85" t="s">
        <v>256</v>
      </c>
      <c r="AD85" t="s">
        <v>256</v>
      </c>
    </row>
    <row r="86" spans="1:30" x14ac:dyDescent="0.3">
      <c r="A86">
        <v>555703769</v>
      </c>
      <c r="B86">
        <v>555703769</v>
      </c>
      <c r="C86">
        <v>1</v>
      </c>
      <c r="D86" t="s">
        <v>259</v>
      </c>
      <c r="E86" t="s">
        <v>260</v>
      </c>
      <c r="F86" t="s">
        <v>149</v>
      </c>
      <c r="G86" t="s">
        <v>55</v>
      </c>
      <c r="H86" t="s">
        <v>39</v>
      </c>
      <c r="I86" t="s">
        <v>74</v>
      </c>
      <c r="J86" t="s">
        <v>41</v>
      </c>
      <c r="K86">
        <v>0</v>
      </c>
      <c r="L86">
        <v>0</v>
      </c>
      <c r="M86">
        <v>0</v>
      </c>
      <c r="N86">
        <v>81</v>
      </c>
      <c r="O86">
        <v>77.828467230568904</v>
      </c>
      <c r="P86" t="s">
        <v>41</v>
      </c>
      <c r="Q86">
        <v>0</v>
      </c>
      <c r="R86" t="s">
        <v>50</v>
      </c>
      <c r="S86">
        <v>1942</v>
      </c>
      <c r="T86" t="s">
        <v>66</v>
      </c>
      <c r="U86" t="s">
        <v>40</v>
      </c>
      <c r="V86" t="s">
        <v>51</v>
      </c>
      <c r="W86" t="s">
        <v>68</v>
      </c>
      <c r="X86" t="s">
        <v>41</v>
      </c>
      <c r="Y86" t="s">
        <v>41</v>
      </c>
      <c r="Z86" t="s">
        <v>43</v>
      </c>
      <c r="AA86">
        <v>1984</v>
      </c>
      <c r="AB86" t="s">
        <v>255</v>
      </c>
      <c r="AC86" t="s">
        <v>256</v>
      </c>
      <c r="AD86" t="s">
        <v>256</v>
      </c>
    </row>
    <row r="87" spans="1:30" x14ac:dyDescent="0.3">
      <c r="A87">
        <v>555703777</v>
      </c>
      <c r="B87">
        <v>555703777</v>
      </c>
      <c r="C87">
        <v>1</v>
      </c>
      <c r="D87" t="s">
        <v>261</v>
      </c>
      <c r="E87" t="s">
        <v>262</v>
      </c>
      <c r="F87" t="s">
        <v>149</v>
      </c>
      <c r="G87" t="s">
        <v>55</v>
      </c>
      <c r="H87" t="s">
        <v>39</v>
      </c>
      <c r="I87" t="s">
        <v>74</v>
      </c>
      <c r="J87" t="s">
        <v>41</v>
      </c>
      <c r="K87">
        <v>0</v>
      </c>
      <c r="L87">
        <v>0</v>
      </c>
      <c r="M87">
        <v>0</v>
      </c>
      <c r="N87">
        <v>280</v>
      </c>
      <c r="O87">
        <v>328.965829120107</v>
      </c>
      <c r="P87" t="s">
        <v>41</v>
      </c>
      <c r="Q87">
        <v>0</v>
      </c>
      <c r="R87" t="s">
        <v>50</v>
      </c>
      <c r="S87">
        <v>1935</v>
      </c>
      <c r="T87" t="s">
        <v>263</v>
      </c>
      <c r="U87" t="s">
        <v>40</v>
      </c>
      <c r="V87" t="s">
        <v>264</v>
      </c>
      <c r="W87" t="s">
        <v>265</v>
      </c>
      <c r="X87" t="s">
        <v>41</v>
      </c>
      <c r="Y87" t="s">
        <v>41</v>
      </c>
      <c r="Z87" t="s">
        <v>43</v>
      </c>
      <c r="AA87">
        <v>1984</v>
      </c>
      <c r="AB87" t="s">
        <v>255</v>
      </c>
      <c r="AC87" t="s">
        <v>256</v>
      </c>
      <c r="AD87" t="s">
        <v>256</v>
      </c>
    </row>
    <row r="88" spans="1:30" x14ac:dyDescent="0.3">
      <c r="A88">
        <v>555703778</v>
      </c>
      <c r="B88">
        <v>555703778</v>
      </c>
      <c r="C88">
        <v>1</v>
      </c>
      <c r="D88" t="s">
        <v>266</v>
      </c>
      <c r="E88" t="s">
        <v>267</v>
      </c>
      <c r="F88" t="s">
        <v>149</v>
      </c>
      <c r="G88" t="s">
        <v>55</v>
      </c>
      <c r="H88" t="s">
        <v>39</v>
      </c>
      <c r="I88" t="s">
        <v>74</v>
      </c>
      <c r="J88" t="s">
        <v>41</v>
      </c>
      <c r="K88">
        <v>0</v>
      </c>
      <c r="L88">
        <v>0</v>
      </c>
      <c r="M88">
        <v>0</v>
      </c>
      <c r="N88">
        <v>205</v>
      </c>
      <c r="O88">
        <v>163.026283851469</v>
      </c>
      <c r="P88" t="s">
        <v>41</v>
      </c>
      <c r="Q88">
        <v>0</v>
      </c>
      <c r="R88" t="s">
        <v>50</v>
      </c>
      <c r="S88">
        <v>1950</v>
      </c>
      <c r="T88" t="s">
        <v>66</v>
      </c>
      <c r="U88" t="s">
        <v>40</v>
      </c>
      <c r="V88" t="s">
        <v>51</v>
      </c>
      <c r="W88" t="s">
        <v>265</v>
      </c>
      <c r="X88" t="s">
        <v>41</v>
      </c>
      <c r="Y88" t="s">
        <v>41</v>
      </c>
      <c r="Z88" t="s">
        <v>43</v>
      </c>
      <c r="AA88">
        <v>1984</v>
      </c>
      <c r="AB88" t="s">
        <v>255</v>
      </c>
      <c r="AC88" t="s">
        <v>256</v>
      </c>
      <c r="AD88" t="s">
        <v>256</v>
      </c>
    </row>
    <row r="89" spans="1:30" x14ac:dyDescent="0.3">
      <c r="A89">
        <v>555703779</v>
      </c>
      <c r="B89">
        <v>555703779</v>
      </c>
      <c r="C89">
        <v>1</v>
      </c>
      <c r="D89" t="s">
        <v>268</v>
      </c>
      <c r="E89" t="s">
        <v>269</v>
      </c>
      <c r="F89" t="s">
        <v>149</v>
      </c>
      <c r="G89" t="s">
        <v>55</v>
      </c>
      <c r="H89" t="s">
        <v>39</v>
      </c>
      <c r="I89" t="s">
        <v>74</v>
      </c>
      <c r="J89" t="s">
        <v>41</v>
      </c>
      <c r="K89">
        <v>0</v>
      </c>
      <c r="L89">
        <v>0</v>
      </c>
      <c r="M89">
        <v>0</v>
      </c>
      <c r="N89">
        <v>136.69999999999899</v>
      </c>
      <c r="O89">
        <v>169.565438268707</v>
      </c>
      <c r="P89" t="s">
        <v>41</v>
      </c>
      <c r="Q89">
        <v>0</v>
      </c>
      <c r="R89" t="s">
        <v>50</v>
      </c>
      <c r="S89">
        <v>1942</v>
      </c>
      <c r="T89" t="s">
        <v>66</v>
      </c>
      <c r="U89" t="s">
        <v>40</v>
      </c>
      <c r="V89" t="s">
        <v>51</v>
      </c>
      <c r="W89" t="s">
        <v>265</v>
      </c>
      <c r="X89" t="s">
        <v>41</v>
      </c>
      <c r="Y89" t="s">
        <v>41</v>
      </c>
      <c r="Z89" t="s">
        <v>43</v>
      </c>
      <c r="AA89">
        <v>1984</v>
      </c>
      <c r="AB89" t="s">
        <v>255</v>
      </c>
      <c r="AC89" t="s">
        <v>256</v>
      </c>
      <c r="AD89" t="s">
        <v>256</v>
      </c>
    </row>
    <row r="90" spans="1:30" x14ac:dyDescent="0.3">
      <c r="A90">
        <v>555703781</v>
      </c>
      <c r="B90">
        <v>555703781</v>
      </c>
      <c r="C90">
        <v>1</v>
      </c>
      <c r="D90" t="s">
        <v>270</v>
      </c>
      <c r="E90" t="s">
        <v>271</v>
      </c>
      <c r="F90" t="s">
        <v>149</v>
      </c>
      <c r="G90" t="s">
        <v>55</v>
      </c>
      <c r="H90" t="s">
        <v>39</v>
      </c>
      <c r="I90" t="s">
        <v>74</v>
      </c>
      <c r="J90" t="s">
        <v>41</v>
      </c>
      <c r="K90">
        <v>0</v>
      </c>
      <c r="L90">
        <v>0</v>
      </c>
      <c r="M90">
        <v>0</v>
      </c>
      <c r="N90">
        <v>30.5</v>
      </c>
      <c r="O90">
        <v>29.2429654330377</v>
      </c>
      <c r="P90" t="s">
        <v>41</v>
      </c>
      <c r="Q90">
        <v>0</v>
      </c>
      <c r="R90" t="s">
        <v>50</v>
      </c>
      <c r="S90">
        <v>1942</v>
      </c>
      <c r="T90" t="s">
        <v>66</v>
      </c>
      <c r="U90" t="s">
        <v>40</v>
      </c>
      <c r="V90" t="s">
        <v>51</v>
      </c>
      <c r="W90" t="s">
        <v>265</v>
      </c>
      <c r="X90" t="s">
        <v>41</v>
      </c>
      <c r="Y90" t="s">
        <v>41</v>
      </c>
      <c r="Z90" t="s">
        <v>43</v>
      </c>
      <c r="AA90">
        <v>1984</v>
      </c>
      <c r="AB90" t="s">
        <v>255</v>
      </c>
      <c r="AC90" t="s">
        <v>256</v>
      </c>
      <c r="AD90" t="s">
        <v>256</v>
      </c>
    </row>
    <row r="91" spans="1:30" x14ac:dyDescent="0.3">
      <c r="A91">
        <v>555703783</v>
      </c>
      <c r="B91">
        <v>555703783</v>
      </c>
      <c r="C91">
        <v>1</v>
      </c>
      <c r="D91" t="s">
        <v>272</v>
      </c>
      <c r="E91" t="s">
        <v>273</v>
      </c>
      <c r="F91" t="s">
        <v>149</v>
      </c>
      <c r="G91" t="s">
        <v>55</v>
      </c>
      <c r="H91" t="s">
        <v>39</v>
      </c>
      <c r="I91" t="s">
        <v>74</v>
      </c>
      <c r="J91" t="s">
        <v>41</v>
      </c>
      <c r="K91">
        <v>0</v>
      </c>
      <c r="L91">
        <v>0</v>
      </c>
      <c r="M91">
        <v>0</v>
      </c>
      <c r="N91">
        <v>72</v>
      </c>
      <c r="O91">
        <v>72.6537092603335</v>
      </c>
      <c r="P91" t="s">
        <v>41</v>
      </c>
      <c r="Q91">
        <v>0</v>
      </c>
      <c r="R91" t="s">
        <v>50</v>
      </c>
      <c r="S91">
        <v>1949</v>
      </c>
      <c r="T91" t="s">
        <v>66</v>
      </c>
      <c r="U91" t="s">
        <v>40</v>
      </c>
      <c r="V91" t="s">
        <v>51</v>
      </c>
      <c r="W91" t="s">
        <v>265</v>
      </c>
      <c r="X91" t="s">
        <v>41</v>
      </c>
      <c r="Y91" t="s">
        <v>41</v>
      </c>
      <c r="Z91" t="s">
        <v>43</v>
      </c>
      <c r="AA91">
        <v>1984</v>
      </c>
      <c r="AB91" t="s">
        <v>255</v>
      </c>
      <c r="AC91" t="s">
        <v>256</v>
      </c>
      <c r="AD91" t="s">
        <v>256</v>
      </c>
    </row>
    <row r="92" spans="1:30" x14ac:dyDescent="0.3">
      <c r="A92">
        <v>555703786</v>
      </c>
      <c r="B92">
        <v>555703786</v>
      </c>
      <c r="C92">
        <v>1</v>
      </c>
      <c r="D92" t="s">
        <v>274</v>
      </c>
      <c r="E92" t="s">
        <v>275</v>
      </c>
      <c r="F92" t="s">
        <v>149</v>
      </c>
      <c r="G92" t="s">
        <v>55</v>
      </c>
      <c r="H92" t="s">
        <v>39</v>
      </c>
      <c r="I92" t="s">
        <v>74</v>
      </c>
      <c r="J92" t="s">
        <v>41</v>
      </c>
      <c r="K92">
        <v>0</v>
      </c>
      <c r="L92">
        <v>0</v>
      </c>
      <c r="M92">
        <v>0</v>
      </c>
      <c r="N92">
        <v>90.29</v>
      </c>
      <c r="O92">
        <v>60.8373662847603</v>
      </c>
      <c r="P92" t="s">
        <v>41</v>
      </c>
      <c r="Q92">
        <v>0</v>
      </c>
      <c r="R92" t="s">
        <v>50</v>
      </c>
      <c r="S92">
        <v>1944</v>
      </c>
      <c r="T92" t="s">
        <v>66</v>
      </c>
      <c r="U92" t="s">
        <v>40</v>
      </c>
      <c r="V92" t="s">
        <v>51</v>
      </c>
      <c r="W92" t="s">
        <v>68</v>
      </c>
      <c r="X92" t="s">
        <v>41</v>
      </c>
      <c r="Y92" t="s">
        <v>41</v>
      </c>
      <c r="Z92" t="s">
        <v>43</v>
      </c>
      <c r="AA92">
        <v>1984</v>
      </c>
      <c r="AB92" t="s">
        <v>276</v>
      </c>
      <c r="AC92" t="s">
        <v>256</v>
      </c>
      <c r="AD92" t="s">
        <v>256</v>
      </c>
    </row>
    <row r="93" spans="1:30" x14ac:dyDescent="0.3">
      <c r="A93">
        <v>555703787</v>
      </c>
      <c r="B93">
        <v>555703787</v>
      </c>
      <c r="C93">
        <v>1</v>
      </c>
      <c r="D93" t="s">
        <v>277</v>
      </c>
      <c r="E93" t="s">
        <v>278</v>
      </c>
      <c r="F93" t="s">
        <v>149</v>
      </c>
      <c r="G93" t="s">
        <v>55</v>
      </c>
      <c r="H93" t="s">
        <v>39</v>
      </c>
      <c r="I93" t="s">
        <v>74</v>
      </c>
      <c r="J93" t="s">
        <v>41</v>
      </c>
      <c r="K93">
        <v>0</v>
      </c>
      <c r="L93">
        <v>0</v>
      </c>
      <c r="M93">
        <v>0</v>
      </c>
      <c r="N93">
        <v>67.5</v>
      </c>
      <c r="O93">
        <v>71.771763235448503</v>
      </c>
      <c r="P93" t="s">
        <v>41</v>
      </c>
      <c r="Q93">
        <v>0</v>
      </c>
      <c r="R93" t="s">
        <v>50</v>
      </c>
      <c r="S93">
        <v>1944</v>
      </c>
      <c r="T93" t="s">
        <v>66</v>
      </c>
      <c r="U93" t="s">
        <v>40</v>
      </c>
      <c r="V93" t="s">
        <v>51</v>
      </c>
      <c r="W93" t="s">
        <v>68</v>
      </c>
      <c r="X93" t="s">
        <v>41</v>
      </c>
      <c r="Y93" t="s">
        <v>41</v>
      </c>
      <c r="Z93" t="s">
        <v>43</v>
      </c>
      <c r="AA93">
        <v>1984</v>
      </c>
      <c r="AB93" t="s">
        <v>276</v>
      </c>
      <c r="AC93" t="s">
        <v>256</v>
      </c>
      <c r="AD93" t="s">
        <v>256</v>
      </c>
    </row>
    <row r="94" spans="1:30" x14ac:dyDescent="0.3">
      <c r="A94">
        <v>555558408</v>
      </c>
      <c r="B94">
        <v>555558408</v>
      </c>
      <c r="C94">
        <v>1</v>
      </c>
      <c r="D94" t="s">
        <v>279</v>
      </c>
      <c r="E94" t="s">
        <v>279</v>
      </c>
      <c r="F94" t="s">
        <v>280</v>
      </c>
      <c r="G94" t="s">
        <v>116</v>
      </c>
      <c r="H94" t="s">
        <v>82</v>
      </c>
      <c r="I94" t="s">
        <v>40</v>
      </c>
      <c r="J94" t="s">
        <v>281</v>
      </c>
      <c r="K94">
        <v>0</v>
      </c>
      <c r="L94">
        <v>0</v>
      </c>
      <c r="M94">
        <v>0</v>
      </c>
      <c r="N94">
        <v>247.4</v>
      </c>
      <c r="O94">
        <v>233.555223172236</v>
      </c>
      <c r="P94" t="s">
        <v>41</v>
      </c>
      <c r="Q94">
        <v>0</v>
      </c>
      <c r="R94" t="s">
        <v>50</v>
      </c>
      <c r="S94">
        <v>2013</v>
      </c>
      <c r="T94" t="s">
        <v>282</v>
      </c>
      <c r="U94" t="s">
        <v>40</v>
      </c>
      <c r="V94" t="s">
        <v>283</v>
      </c>
      <c r="W94" t="s">
        <v>284</v>
      </c>
      <c r="X94" t="s">
        <v>41</v>
      </c>
      <c r="Y94" t="s">
        <v>41</v>
      </c>
      <c r="Z94" t="s">
        <v>43</v>
      </c>
      <c r="AA94">
        <v>1856</v>
      </c>
      <c r="AB94" t="s">
        <v>255</v>
      </c>
      <c r="AC94" t="s">
        <v>256</v>
      </c>
      <c r="AD94" t="s">
        <v>256</v>
      </c>
    </row>
    <row r="95" spans="1:30" x14ac:dyDescent="0.3">
      <c r="A95">
        <v>555703789</v>
      </c>
      <c r="B95">
        <v>555703789</v>
      </c>
      <c r="C95">
        <v>1</v>
      </c>
      <c r="D95" t="s">
        <v>285</v>
      </c>
      <c r="E95" t="s">
        <v>286</v>
      </c>
      <c r="F95" t="s">
        <v>149</v>
      </c>
      <c r="G95" t="s">
        <v>55</v>
      </c>
      <c r="H95" t="s">
        <v>39</v>
      </c>
      <c r="I95" t="s">
        <v>74</v>
      </c>
      <c r="J95" t="s">
        <v>41</v>
      </c>
      <c r="K95">
        <v>0</v>
      </c>
      <c r="L95">
        <v>0</v>
      </c>
      <c r="M95">
        <v>0</v>
      </c>
      <c r="N95">
        <v>120</v>
      </c>
      <c r="O95">
        <v>176.09034375645601</v>
      </c>
      <c r="P95" t="s">
        <v>41</v>
      </c>
      <c r="Q95">
        <v>0</v>
      </c>
      <c r="R95" t="s">
        <v>50</v>
      </c>
      <c r="S95">
        <v>1941</v>
      </c>
      <c r="T95" t="s">
        <v>66</v>
      </c>
      <c r="U95" t="s">
        <v>40</v>
      </c>
      <c r="V95" t="s">
        <v>51</v>
      </c>
      <c r="W95" t="s">
        <v>68</v>
      </c>
      <c r="X95" t="s">
        <v>41</v>
      </c>
      <c r="Y95" t="s">
        <v>41</v>
      </c>
      <c r="Z95" t="s">
        <v>43</v>
      </c>
      <c r="AA95">
        <v>1984</v>
      </c>
      <c r="AB95" t="s">
        <v>276</v>
      </c>
      <c r="AC95" t="s">
        <v>256</v>
      </c>
      <c r="AD95" t="s">
        <v>256</v>
      </c>
    </row>
    <row r="96" spans="1:30" x14ac:dyDescent="0.3">
      <c r="A96">
        <v>555703790</v>
      </c>
      <c r="B96">
        <v>555703790</v>
      </c>
      <c r="C96">
        <v>1</v>
      </c>
      <c r="D96" t="s">
        <v>287</v>
      </c>
      <c r="E96" t="s">
        <v>288</v>
      </c>
      <c r="F96" t="s">
        <v>149</v>
      </c>
      <c r="G96" t="s">
        <v>55</v>
      </c>
      <c r="H96" t="s">
        <v>39</v>
      </c>
      <c r="I96" t="s">
        <v>74</v>
      </c>
      <c r="J96" t="s">
        <v>41</v>
      </c>
      <c r="K96">
        <v>0</v>
      </c>
      <c r="L96">
        <v>0</v>
      </c>
      <c r="M96">
        <v>0</v>
      </c>
      <c r="N96">
        <v>798.22</v>
      </c>
      <c r="O96">
        <v>796.22895354694504</v>
      </c>
      <c r="P96" t="s">
        <v>41</v>
      </c>
      <c r="Q96">
        <v>0</v>
      </c>
      <c r="R96" t="s">
        <v>50</v>
      </c>
      <c r="S96">
        <v>1945</v>
      </c>
      <c r="T96" t="s">
        <v>263</v>
      </c>
      <c r="U96" t="s">
        <v>40</v>
      </c>
      <c r="V96" t="s">
        <v>289</v>
      </c>
      <c r="W96" t="s">
        <v>265</v>
      </c>
      <c r="X96" t="s">
        <v>41</v>
      </c>
      <c r="Y96" t="s">
        <v>41</v>
      </c>
      <c r="Z96" t="s">
        <v>43</v>
      </c>
      <c r="AA96">
        <v>1984</v>
      </c>
      <c r="AB96" t="s">
        <v>276</v>
      </c>
      <c r="AC96" t="s">
        <v>256</v>
      </c>
      <c r="AD96" t="s">
        <v>256</v>
      </c>
    </row>
    <row r="97" spans="1:30" x14ac:dyDescent="0.3">
      <c r="A97">
        <v>555703797</v>
      </c>
      <c r="B97">
        <v>555703797</v>
      </c>
      <c r="C97">
        <v>1</v>
      </c>
      <c r="D97" t="s">
        <v>290</v>
      </c>
      <c r="E97" t="s">
        <v>291</v>
      </c>
      <c r="F97" t="s">
        <v>149</v>
      </c>
      <c r="G97" t="s">
        <v>55</v>
      </c>
      <c r="H97" t="s">
        <v>39</v>
      </c>
      <c r="I97" t="s">
        <v>74</v>
      </c>
      <c r="J97" t="s">
        <v>41</v>
      </c>
      <c r="K97">
        <v>0</v>
      </c>
      <c r="L97">
        <v>0</v>
      </c>
      <c r="M97">
        <v>0</v>
      </c>
      <c r="N97">
        <v>26</v>
      </c>
      <c r="O97">
        <v>25.906153469553701</v>
      </c>
      <c r="P97" t="s">
        <v>41</v>
      </c>
      <c r="Q97">
        <v>0</v>
      </c>
      <c r="R97" t="s">
        <v>50</v>
      </c>
      <c r="S97">
        <v>1953</v>
      </c>
      <c r="T97" t="s">
        <v>66</v>
      </c>
      <c r="U97" t="s">
        <v>40</v>
      </c>
      <c r="V97" t="s">
        <v>51</v>
      </c>
      <c r="W97" t="s">
        <v>68</v>
      </c>
      <c r="X97" t="s">
        <v>41</v>
      </c>
      <c r="Y97" t="s">
        <v>41</v>
      </c>
      <c r="Z97" t="s">
        <v>43</v>
      </c>
      <c r="AA97">
        <v>1984</v>
      </c>
      <c r="AB97" t="s">
        <v>276</v>
      </c>
      <c r="AC97" t="s">
        <v>256</v>
      </c>
      <c r="AD97" t="s">
        <v>256</v>
      </c>
    </row>
    <row r="98" spans="1:30" x14ac:dyDescent="0.3">
      <c r="A98">
        <v>555703820</v>
      </c>
      <c r="B98">
        <v>555703820</v>
      </c>
      <c r="C98">
        <v>1</v>
      </c>
      <c r="D98" t="s">
        <v>292</v>
      </c>
      <c r="E98" t="s">
        <v>293</v>
      </c>
      <c r="F98" t="s">
        <v>149</v>
      </c>
      <c r="G98" t="s">
        <v>55</v>
      </c>
      <c r="H98" t="s">
        <v>39</v>
      </c>
      <c r="I98" t="s">
        <v>74</v>
      </c>
      <c r="J98" t="s">
        <v>41</v>
      </c>
      <c r="K98">
        <v>0</v>
      </c>
      <c r="L98">
        <v>0</v>
      </c>
      <c r="M98">
        <v>0</v>
      </c>
      <c r="N98">
        <v>100</v>
      </c>
      <c r="O98">
        <v>92.989698311444002</v>
      </c>
      <c r="P98" t="s">
        <v>41</v>
      </c>
      <c r="Q98">
        <v>0</v>
      </c>
      <c r="R98" t="s">
        <v>50</v>
      </c>
      <c r="S98">
        <v>1948</v>
      </c>
      <c r="T98" t="s">
        <v>66</v>
      </c>
      <c r="U98" t="s">
        <v>40</v>
      </c>
      <c r="V98" t="s">
        <v>51</v>
      </c>
      <c r="W98" t="s">
        <v>68</v>
      </c>
      <c r="X98" t="s">
        <v>41</v>
      </c>
      <c r="Y98" t="s">
        <v>41</v>
      </c>
      <c r="Z98" t="s">
        <v>43</v>
      </c>
      <c r="AA98">
        <v>1984</v>
      </c>
      <c r="AB98" t="s">
        <v>294</v>
      </c>
      <c r="AC98" t="s">
        <v>256</v>
      </c>
      <c r="AD98" t="s">
        <v>256</v>
      </c>
    </row>
    <row r="99" spans="1:30" x14ac:dyDescent="0.3">
      <c r="A99">
        <v>555703819</v>
      </c>
      <c r="B99">
        <v>555703819</v>
      </c>
      <c r="C99">
        <v>1</v>
      </c>
      <c r="D99" t="s">
        <v>295</v>
      </c>
      <c r="E99" t="s">
        <v>296</v>
      </c>
      <c r="F99" t="s">
        <v>149</v>
      </c>
      <c r="G99" t="s">
        <v>55</v>
      </c>
      <c r="H99" t="s">
        <v>39</v>
      </c>
      <c r="I99" t="s">
        <v>74</v>
      </c>
      <c r="J99" t="s">
        <v>41</v>
      </c>
      <c r="K99">
        <v>0</v>
      </c>
      <c r="L99">
        <v>0</v>
      </c>
      <c r="M99">
        <v>0</v>
      </c>
      <c r="N99">
        <v>24.399999999999899</v>
      </c>
      <c r="O99">
        <v>24.584627943113901</v>
      </c>
      <c r="P99" t="s">
        <v>41</v>
      </c>
      <c r="Q99">
        <v>0</v>
      </c>
      <c r="R99" t="s">
        <v>50</v>
      </c>
      <c r="S99">
        <v>1948</v>
      </c>
      <c r="T99" t="s">
        <v>66</v>
      </c>
      <c r="U99" t="s">
        <v>40</v>
      </c>
      <c r="V99" t="s">
        <v>51</v>
      </c>
      <c r="W99" t="s">
        <v>68</v>
      </c>
      <c r="X99" t="s">
        <v>41</v>
      </c>
      <c r="Y99" t="s">
        <v>41</v>
      </c>
      <c r="Z99" t="s">
        <v>43</v>
      </c>
      <c r="AA99">
        <v>1984</v>
      </c>
      <c r="AB99" t="s">
        <v>294</v>
      </c>
      <c r="AC99" t="s">
        <v>256</v>
      </c>
      <c r="AD99" t="s">
        <v>256</v>
      </c>
    </row>
    <row r="100" spans="1:30" x14ac:dyDescent="0.3">
      <c r="A100">
        <v>555703822</v>
      </c>
      <c r="B100">
        <v>555703822</v>
      </c>
      <c r="C100">
        <v>1</v>
      </c>
      <c r="D100" t="s">
        <v>297</v>
      </c>
      <c r="E100" t="s">
        <v>298</v>
      </c>
      <c r="F100" t="s">
        <v>149</v>
      </c>
      <c r="G100" t="s">
        <v>55</v>
      </c>
      <c r="H100" t="s">
        <v>39</v>
      </c>
      <c r="I100" t="s">
        <v>74</v>
      </c>
      <c r="J100" t="s">
        <v>41</v>
      </c>
      <c r="K100">
        <v>0</v>
      </c>
      <c r="L100">
        <v>0</v>
      </c>
      <c r="M100">
        <v>0</v>
      </c>
      <c r="N100">
        <v>63</v>
      </c>
      <c r="O100">
        <v>56.438632951316897</v>
      </c>
      <c r="P100" t="s">
        <v>41</v>
      </c>
      <c r="Q100">
        <v>0</v>
      </c>
      <c r="R100" t="s">
        <v>50</v>
      </c>
      <c r="S100">
        <v>1954</v>
      </c>
      <c r="T100" t="s">
        <v>66</v>
      </c>
      <c r="U100" t="s">
        <v>40</v>
      </c>
      <c r="V100" t="s">
        <v>51</v>
      </c>
      <c r="W100" t="s">
        <v>68</v>
      </c>
      <c r="X100" t="s">
        <v>41</v>
      </c>
      <c r="Y100" t="s">
        <v>41</v>
      </c>
      <c r="Z100" t="s">
        <v>43</v>
      </c>
      <c r="AA100">
        <v>1984</v>
      </c>
      <c r="AB100" t="s">
        <v>294</v>
      </c>
      <c r="AC100" t="s">
        <v>256</v>
      </c>
      <c r="AD100" t="s">
        <v>256</v>
      </c>
    </row>
    <row r="101" spans="1:30" x14ac:dyDescent="0.3">
      <c r="A101">
        <v>555703823</v>
      </c>
      <c r="B101">
        <v>555703823</v>
      </c>
      <c r="C101">
        <v>1</v>
      </c>
      <c r="D101" t="s">
        <v>299</v>
      </c>
      <c r="E101" t="s">
        <v>300</v>
      </c>
      <c r="F101" t="s">
        <v>149</v>
      </c>
      <c r="G101" t="s">
        <v>55</v>
      </c>
      <c r="H101" t="s">
        <v>39</v>
      </c>
      <c r="I101" t="s">
        <v>74</v>
      </c>
      <c r="J101" t="s">
        <v>41</v>
      </c>
      <c r="K101">
        <v>0</v>
      </c>
      <c r="L101">
        <v>0</v>
      </c>
      <c r="M101">
        <v>0</v>
      </c>
      <c r="N101">
        <v>33</v>
      </c>
      <c r="O101">
        <v>30.149787647735</v>
      </c>
      <c r="P101" t="s">
        <v>41</v>
      </c>
      <c r="Q101">
        <v>0</v>
      </c>
      <c r="R101" t="s">
        <v>50</v>
      </c>
      <c r="S101">
        <v>1948</v>
      </c>
      <c r="T101" t="s">
        <v>66</v>
      </c>
      <c r="U101" t="s">
        <v>40</v>
      </c>
      <c r="V101" t="s">
        <v>51</v>
      </c>
      <c r="W101" t="s">
        <v>68</v>
      </c>
      <c r="X101" t="s">
        <v>41</v>
      </c>
      <c r="Y101" t="s">
        <v>41</v>
      </c>
      <c r="Z101" t="s">
        <v>43</v>
      </c>
      <c r="AA101">
        <v>1984</v>
      </c>
      <c r="AB101" t="s">
        <v>294</v>
      </c>
      <c r="AC101" t="s">
        <v>256</v>
      </c>
      <c r="AD101" t="s">
        <v>256</v>
      </c>
    </row>
    <row r="102" spans="1:30" x14ac:dyDescent="0.3">
      <c r="A102">
        <v>555703824</v>
      </c>
      <c r="B102">
        <v>555703824</v>
      </c>
      <c r="C102">
        <v>1</v>
      </c>
      <c r="D102" t="s">
        <v>301</v>
      </c>
      <c r="E102" t="s">
        <v>302</v>
      </c>
      <c r="F102" t="s">
        <v>149</v>
      </c>
      <c r="G102" t="s">
        <v>55</v>
      </c>
      <c r="H102" t="s">
        <v>39</v>
      </c>
      <c r="I102" t="s">
        <v>74</v>
      </c>
      <c r="J102" t="s">
        <v>41</v>
      </c>
      <c r="K102">
        <v>0</v>
      </c>
      <c r="L102">
        <v>0</v>
      </c>
      <c r="M102">
        <v>0</v>
      </c>
      <c r="N102">
        <v>106</v>
      </c>
      <c r="O102">
        <v>100.031647240466</v>
      </c>
      <c r="P102" t="s">
        <v>41</v>
      </c>
      <c r="Q102">
        <v>0</v>
      </c>
      <c r="R102" t="s">
        <v>50</v>
      </c>
      <c r="S102">
        <v>1948</v>
      </c>
      <c r="T102" t="s">
        <v>66</v>
      </c>
      <c r="U102" t="s">
        <v>40</v>
      </c>
      <c r="V102" t="s">
        <v>51</v>
      </c>
      <c r="W102" t="s">
        <v>68</v>
      </c>
      <c r="X102" t="s">
        <v>41</v>
      </c>
      <c r="Y102" t="s">
        <v>41</v>
      </c>
      <c r="Z102" t="s">
        <v>43</v>
      </c>
      <c r="AA102">
        <v>1984</v>
      </c>
      <c r="AB102" t="s">
        <v>294</v>
      </c>
      <c r="AC102" t="s">
        <v>256</v>
      </c>
      <c r="AD102" t="s">
        <v>256</v>
      </c>
    </row>
    <row r="103" spans="1:30" x14ac:dyDescent="0.3">
      <c r="A103">
        <v>555703870</v>
      </c>
      <c r="B103">
        <v>555703870</v>
      </c>
      <c r="C103">
        <v>1</v>
      </c>
      <c r="D103" t="s">
        <v>303</v>
      </c>
      <c r="E103" t="s">
        <v>304</v>
      </c>
      <c r="F103" t="s">
        <v>149</v>
      </c>
      <c r="G103" t="s">
        <v>55</v>
      </c>
      <c r="H103" t="s">
        <v>39</v>
      </c>
      <c r="I103" t="s">
        <v>74</v>
      </c>
      <c r="J103" t="s">
        <v>41</v>
      </c>
      <c r="K103">
        <v>0</v>
      </c>
      <c r="L103">
        <v>0</v>
      </c>
      <c r="M103">
        <v>0</v>
      </c>
      <c r="N103">
        <v>20.100000000000001</v>
      </c>
      <c r="O103">
        <v>11.2552297403121</v>
      </c>
      <c r="P103" t="s">
        <v>41</v>
      </c>
      <c r="Q103">
        <v>0</v>
      </c>
      <c r="R103" t="s">
        <v>50</v>
      </c>
      <c r="S103">
        <v>1935</v>
      </c>
      <c r="T103" t="s">
        <v>66</v>
      </c>
      <c r="U103" t="s">
        <v>40</v>
      </c>
      <c r="V103" t="s">
        <v>51</v>
      </c>
      <c r="W103" t="s">
        <v>265</v>
      </c>
      <c r="X103" t="s">
        <v>41</v>
      </c>
      <c r="Y103" t="s">
        <v>41</v>
      </c>
      <c r="Z103" t="s">
        <v>43</v>
      </c>
      <c r="AA103">
        <v>1984</v>
      </c>
      <c r="AB103" t="s">
        <v>305</v>
      </c>
      <c r="AC103" t="s">
        <v>256</v>
      </c>
      <c r="AD103" t="s">
        <v>256</v>
      </c>
    </row>
    <row r="104" spans="1:30" x14ac:dyDescent="0.3">
      <c r="A104">
        <v>28565</v>
      </c>
      <c r="B104">
        <v>28565</v>
      </c>
      <c r="C104">
        <v>1</v>
      </c>
      <c r="D104" t="s">
        <v>306</v>
      </c>
      <c r="E104" t="s">
        <v>307</v>
      </c>
      <c r="F104" t="s">
        <v>149</v>
      </c>
      <c r="G104" t="s">
        <v>55</v>
      </c>
      <c r="H104" t="s">
        <v>39</v>
      </c>
      <c r="I104" t="s">
        <v>40</v>
      </c>
      <c r="J104" t="s">
        <v>41</v>
      </c>
      <c r="K104">
        <v>0</v>
      </c>
      <c r="L104">
        <v>0</v>
      </c>
      <c r="M104">
        <v>0</v>
      </c>
      <c r="N104">
        <v>66.540000000000006</v>
      </c>
      <c r="O104">
        <v>76.209324388173897</v>
      </c>
      <c r="P104" t="s">
        <v>41</v>
      </c>
      <c r="Q104">
        <v>0</v>
      </c>
      <c r="R104" t="s">
        <v>50</v>
      </c>
      <c r="S104">
        <v>1936</v>
      </c>
      <c r="T104" t="s">
        <v>40</v>
      </c>
      <c r="U104" t="s">
        <v>40</v>
      </c>
      <c r="V104" t="s">
        <v>150</v>
      </c>
      <c r="W104" t="s">
        <v>40</v>
      </c>
      <c r="X104" t="s">
        <v>41</v>
      </c>
      <c r="Y104" t="s">
        <v>41</v>
      </c>
      <c r="Z104" t="s">
        <v>43</v>
      </c>
      <c r="AA104">
        <v>1988</v>
      </c>
      <c r="AB104" t="s">
        <v>308</v>
      </c>
      <c r="AC104" t="s">
        <v>152</v>
      </c>
      <c r="AD104" t="s">
        <v>152</v>
      </c>
    </row>
    <row r="105" spans="1:30" x14ac:dyDescent="0.3">
      <c r="A105">
        <v>28534</v>
      </c>
      <c r="B105">
        <v>28534</v>
      </c>
      <c r="C105">
        <v>1</v>
      </c>
      <c r="D105" t="s">
        <v>309</v>
      </c>
      <c r="E105" t="s">
        <v>310</v>
      </c>
      <c r="F105" t="s">
        <v>149</v>
      </c>
      <c r="G105" t="s">
        <v>55</v>
      </c>
      <c r="H105" t="s">
        <v>39</v>
      </c>
      <c r="I105" t="s">
        <v>40</v>
      </c>
      <c r="J105" t="s">
        <v>41</v>
      </c>
      <c r="K105">
        <v>0</v>
      </c>
      <c r="L105">
        <v>0</v>
      </c>
      <c r="M105">
        <v>0</v>
      </c>
      <c r="N105">
        <v>2.6</v>
      </c>
      <c r="O105">
        <v>3.4434711325961498</v>
      </c>
      <c r="P105" t="s">
        <v>41</v>
      </c>
      <c r="Q105">
        <v>0</v>
      </c>
      <c r="R105" t="s">
        <v>50</v>
      </c>
      <c r="S105">
        <v>1936</v>
      </c>
      <c r="T105" t="s">
        <v>40</v>
      </c>
      <c r="U105" t="s">
        <v>40</v>
      </c>
      <c r="V105" t="s">
        <v>150</v>
      </c>
      <c r="W105" t="s">
        <v>40</v>
      </c>
      <c r="X105" t="s">
        <v>41</v>
      </c>
      <c r="Y105" t="s">
        <v>41</v>
      </c>
      <c r="Z105" t="s">
        <v>43</v>
      </c>
      <c r="AA105">
        <v>1988</v>
      </c>
      <c r="AB105" t="s">
        <v>311</v>
      </c>
      <c r="AC105" t="s">
        <v>152</v>
      </c>
      <c r="AD105" t="s">
        <v>152</v>
      </c>
    </row>
    <row r="106" spans="1:30" x14ac:dyDescent="0.3">
      <c r="A106">
        <v>313441</v>
      </c>
      <c r="B106">
        <v>313441</v>
      </c>
      <c r="C106">
        <v>1</v>
      </c>
      <c r="D106" t="s">
        <v>312</v>
      </c>
      <c r="E106" t="s">
        <v>313</v>
      </c>
      <c r="F106" t="s">
        <v>149</v>
      </c>
      <c r="G106" t="s">
        <v>55</v>
      </c>
      <c r="H106" t="s">
        <v>39</v>
      </c>
      <c r="I106" t="s">
        <v>40</v>
      </c>
      <c r="J106" t="s">
        <v>41</v>
      </c>
      <c r="K106">
        <v>0</v>
      </c>
      <c r="L106">
        <v>0</v>
      </c>
      <c r="M106">
        <v>0</v>
      </c>
      <c r="N106">
        <v>980</v>
      </c>
      <c r="O106">
        <v>1062.2276965487299</v>
      </c>
      <c r="P106" t="s">
        <v>41</v>
      </c>
      <c r="Q106">
        <v>0</v>
      </c>
      <c r="R106" t="s">
        <v>50</v>
      </c>
      <c r="S106">
        <v>1953</v>
      </c>
      <c r="T106" t="s">
        <v>40</v>
      </c>
      <c r="U106" t="s">
        <v>40</v>
      </c>
      <c r="V106" t="s">
        <v>150</v>
      </c>
      <c r="W106" t="s">
        <v>40</v>
      </c>
      <c r="X106" t="s">
        <v>41</v>
      </c>
      <c r="Y106" t="s">
        <v>41</v>
      </c>
      <c r="Z106" t="s">
        <v>43</v>
      </c>
      <c r="AA106">
        <v>1988</v>
      </c>
      <c r="AB106" t="s">
        <v>314</v>
      </c>
      <c r="AC106" t="s">
        <v>152</v>
      </c>
      <c r="AD106" t="s">
        <v>152</v>
      </c>
    </row>
    <row r="107" spans="1:30" x14ac:dyDescent="0.3">
      <c r="A107">
        <v>28568</v>
      </c>
      <c r="B107">
        <v>28568</v>
      </c>
      <c r="C107">
        <v>1</v>
      </c>
      <c r="D107" t="s">
        <v>315</v>
      </c>
      <c r="E107" t="s">
        <v>316</v>
      </c>
      <c r="F107" t="s">
        <v>149</v>
      </c>
      <c r="G107" t="s">
        <v>55</v>
      </c>
      <c r="H107" t="s">
        <v>39</v>
      </c>
      <c r="I107" t="s">
        <v>40</v>
      </c>
      <c r="J107" t="s">
        <v>41</v>
      </c>
      <c r="K107">
        <v>0</v>
      </c>
      <c r="L107">
        <v>0</v>
      </c>
      <c r="M107">
        <v>0</v>
      </c>
      <c r="N107">
        <v>16</v>
      </c>
      <c r="O107">
        <v>14.5710786370172</v>
      </c>
      <c r="P107" t="s">
        <v>41</v>
      </c>
      <c r="Q107">
        <v>0</v>
      </c>
      <c r="R107" t="s">
        <v>50</v>
      </c>
      <c r="S107">
        <v>1937</v>
      </c>
      <c r="T107" t="s">
        <v>40</v>
      </c>
      <c r="U107" t="s">
        <v>40</v>
      </c>
      <c r="V107" t="s">
        <v>150</v>
      </c>
      <c r="W107" t="s">
        <v>40</v>
      </c>
      <c r="X107" t="s">
        <v>41</v>
      </c>
      <c r="Y107" t="s">
        <v>41</v>
      </c>
      <c r="Z107" t="s">
        <v>43</v>
      </c>
      <c r="AA107">
        <v>1988</v>
      </c>
      <c r="AB107" t="s">
        <v>317</v>
      </c>
      <c r="AC107" t="s">
        <v>152</v>
      </c>
      <c r="AD107" t="s">
        <v>152</v>
      </c>
    </row>
    <row r="108" spans="1:30" x14ac:dyDescent="0.3">
      <c r="A108">
        <v>28569</v>
      </c>
      <c r="B108">
        <v>28569</v>
      </c>
      <c r="C108">
        <v>1</v>
      </c>
      <c r="D108" t="s">
        <v>318</v>
      </c>
      <c r="E108" t="s">
        <v>319</v>
      </c>
      <c r="F108" t="s">
        <v>149</v>
      </c>
      <c r="G108" t="s">
        <v>55</v>
      </c>
      <c r="H108" t="s">
        <v>39</v>
      </c>
      <c r="I108" t="s">
        <v>40</v>
      </c>
      <c r="J108" t="s">
        <v>41</v>
      </c>
      <c r="K108">
        <v>0</v>
      </c>
      <c r="L108">
        <v>0</v>
      </c>
      <c r="M108">
        <v>0</v>
      </c>
      <c r="N108">
        <v>18</v>
      </c>
      <c r="O108">
        <v>5.1812870575298797</v>
      </c>
      <c r="P108" t="s">
        <v>41</v>
      </c>
      <c r="Q108">
        <v>0</v>
      </c>
      <c r="R108" t="s">
        <v>50</v>
      </c>
      <c r="S108">
        <v>1937</v>
      </c>
      <c r="T108" t="s">
        <v>40</v>
      </c>
      <c r="U108" t="s">
        <v>40</v>
      </c>
      <c r="V108" t="s">
        <v>150</v>
      </c>
      <c r="W108" t="s">
        <v>40</v>
      </c>
      <c r="X108" t="s">
        <v>41</v>
      </c>
      <c r="Y108" t="s">
        <v>41</v>
      </c>
      <c r="Z108" t="s">
        <v>43</v>
      </c>
      <c r="AA108">
        <v>1988</v>
      </c>
      <c r="AB108" t="s">
        <v>317</v>
      </c>
      <c r="AC108" t="s">
        <v>152</v>
      </c>
      <c r="AD108" t="s">
        <v>152</v>
      </c>
    </row>
    <row r="109" spans="1:30" x14ac:dyDescent="0.3">
      <c r="A109">
        <v>313427</v>
      </c>
      <c r="B109">
        <v>313427</v>
      </c>
      <c r="C109">
        <v>1</v>
      </c>
      <c r="D109" t="s">
        <v>320</v>
      </c>
      <c r="E109" t="s">
        <v>321</v>
      </c>
      <c r="F109" t="s">
        <v>149</v>
      </c>
      <c r="G109" t="s">
        <v>55</v>
      </c>
      <c r="H109" t="s">
        <v>39</v>
      </c>
      <c r="I109" t="s">
        <v>40</v>
      </c>
      <c r="J109" t="s">
        <v>41</v>
      </c>
      <c r="K109">
        <v>0</v>
      </c>
      <c r="L109">
        <v>0</v>
      </c>
      <c r="M109">
        <v>0</v>
      </c>
      <c r="N109">
        <v>3.5</v>
      </c>
      <c r="O109">
        <v>3.88069804602361</v>
      </c>
      <c r="P109" t="s">
        <v>41</v>
      </c>
      <c r="Q109">
        <v>0</v>
      </c>
      <c r="R109" t="s">
        <v>50</v>
      </c>
      <c r="S109">
        <v>1936</v>
      </c>
      <c r="T109" t="s">
        <v>40</v>
      </c>
      <c r="U109" t="s">
        <v>40</v>
      </c>
      <c r="V109" t="s">
        <v>150</v>
      </c>
      <c r="W109" t="s">
        <v>40</v>
      </c>
      <c r="X109" t="s">
        <v>41</v>
      </c>
      <c r="Y109" t="s">
        <v>41</v>
      </c>
      <c r="Z109" t="s">
        <v>43</v>
      </c>
      <c r="AA109">
        <v>1988</v>
      </c>
      <c r="AB109" t="s">
        <v>317</v>
      </c>
      <c r="AC109" t="s">
        <v>152</v>
      </c>
      <c r="AD109" t="s">
        <v>152</v>
      </c>
    </row>
    <row r="110" spans="1:30" x14ac:dyDescent="0.3">
      <c r="A110">
        <v>28574</v>
      </c>
      <c r="B110">
        <v>28574</v>
      </c>
      <c r="C110">
        <v>1</v>
      </c>
      <c r="D110" t="s">
        <v>322</v>
      </c>
      <c r="E110" t="s">
        <v>323</v>
      </c>
      <c r="F110" t="s">
        <v>149</v>
      </c>
      <c r="G110" t="s">
        <v>55</v>
      </c>
      <c r="H110" t="s">
        <v>39</v>
      </c>
      <c r="I110" t="s">
        <v>40</v>
      </c>
      <c r="J110" t="s">
        <v>41</v>
      </c>
      <c r="K110">
        <v>0</v>
      </c>
      <c r="L110">
        <v>0</v>
      </c>
      <c r="M110">
        <v>0</v>
      </c>
      <c r="N110">
        <v>21.5</v>
      </c>
      <c r="O110">
        <v>21.587005611625901</v>
      </c>
      <c r="P110" t="s">
        <v>41</v>
      </c>
      <c r="Q110">
        <v>0</v>
      </c>
      <c r="R110" t="s">
        <v>50</v>
      </c>
      <c r="S110">
        <v>1936</v>
      </c>
      <c r="T110" t="s">
        <v>40</v>
      </c>
      <c r="U110" t="s">
        <v>40</v>
      </c>
      <c r="V110" t="s">
        <v>150</v>
      </c>
      <c r="W110" t="s">
        <v>40</v>
      </c>
      <c r="X110" t="s">
        <v>41</v>
      </c>
      <c r="Y110" t="s">
        <v>41</v>
      </c>
      <c r="Z110" t="s">
        <v>43</v>
      </c>
      <c r="AA110">
        <v>1988</v>
      </c>
      <c r="AB110" t="s">
        <v>317</v>
      </c>
      <c r="AC110" t="s">
        <v>152</v>
      </c>
      <c r="AD110" t="s">
        <v>152</v>
      </c>
    </row>
    <row r="111" spans="1:30" x14ac:dyDescent="0.3">
      <c r="A111">
        <v>28578</v>
      </c>
      <c r="B111">
        <v>28578</v>
      </c>
      <c r="C111">
        <v>1</v>
      </c>
      <c r="D111" t="s">
        <v>324</v>
      </c>
      <c r="E111" t="s">
        <v>325</v>
      </c>
      <c r="F111" t="s">
        <v>149</v>
      </c>
      <c r="G111" t="s">
        <v>55</v>
      </c>
      <c r="H111" t="s">
        <v>39</v>
      </c>
      <c r="I111" t="s">
        <v>40</v>
      </c>
      <c r="J111" t="s">
        <v>41</v>
      </c>
      <c r="K111">
        <v>0</v>
      </c>
      <c r="L111">
        <v>0</v>
      </c>
      <c r="M111">
        <v>0</v>
      </c>
      <c r="N111">
        <v>12</v>
      </c>
      <c r="O111">
        <v>12.266052299914801</v>
      </c>
      <c r="P111" t="s">
        <v>41</v>
      </c>
      <c r="Q111">
        <v>0</v>
      </c>
      <c r="R111" t="s">
        <v>50</v>
      </c>
      <c r="S111">
        <v>1942</v>
      </c>
      <c r="T111" t="s">
        <v>40</v>
      </c>
      <c r="U111" t="s">
        <v>40</v>
      </c>
      <c r="V111" t="s">
        <v>150</v>
      </c>
      <c r="W111" t="s">
        <v>40</v>
      </c>
      <c r="X111" t="s">
        <v>41</v>
      </c>
      <c r="Y111" t="s">
        <v>41</v>
      </c>
      <c r="Z111" t="s">
        <v>43</v>
      </c>
      <c r="AA111">
        <v>1988</v>
      </c>
      <c r="AB111" t="s">
        <v>317</v>
      </c>
      <c r="AC111" t="s">
        <v>152</v>
      </c>
      <c r="AD111" t="s">
        <v>152</v>
      </c>
    </row>
    <row r="112" spans="1:30" x14ac:dyDescent="0.3">
      <c r="A112">
        <v>28544</v>
      </c>
      <c r="B112">
        <v>28544</v>
      </c>
      <c r="C112">
        <v>1</v>
      </c>
      <c r="D112" t="s">
        <v>326</v>
      </c>
      <c r="E112" t="s">
        <v>327</v>
      </c>
      <c r="F112" t="s">
        <v>149</v>
      </c>
      <c r="G112" t="s">
        <v>55</v>
      </c>
      <c r="H112" t="s">
        <v>39</v>
      </c>
      <c r="I112" t="s">
        <v>40</v>
      </c>
      <c r="J112" t="s">
        <v>41</v>
      </c>
      <c r="K112">
        <v>0</v>
      </c>
      <c r="L112">
        <v>0</v>
      </c>
      <c r="M112">
        <v>0</v>
      </c>
      <c r="N112">
        <v>500</v>
      </c>
      <c r="O112">
        <v>436.92707425800302</v>
      </c>
      <c r="P112" t="s">
        <v>41</v>
      </c>
      <c r="Q112">
        <v>0</v>
      </c>
      <c r="R112" t="s">
        <v>50</v>
      </c>
      <c r="S112">
        <v>1940</v>
      </c>
      <c r="T112" t="s">
        <v>40</v>
      </c>
      <c r="U112" t="s">
        <v>40</v>
      </c>
      <c r="V112" t="s">
        <v>150</v>
      </c>
      <c r="W112" t="s">
        <v>40</v>
      </c>
      <c r="X112" t="s">
        <v>41</v>
      </c>
      <c r="Y112" t="s">
        <v>41</v>
      </c>
      <c r="Z112" t="s">
        <v>43</v>
      </c>
      <c r="AA112">
        <v>1988</v>
      </c>
      <c r="AB112" t="s">
        <v>317</v>
      </c>
      <c r="AC112" t="s">
        <v>152</v>
      </c>
      <c r="AD112" t="s">
        <v>152</v>
      </c>
    </row>
    <row r="113" spans="1:30" x14ac:dyDescent="0.3">
      <c r="A113">
        <v>28576</v>
      </c>
      <c r="B113">
        <v>28576</v>
      </c>
      <c r="C113">
        <v>1</v>
      </c>
      <c r="D113" t="s">
        <v>328</v>
      </c>
      <c r="E113" t="s">
        <v>329</v>
      </c>
      <c r="F113" t="s">
        <v>149</v>
      </c>
      <c r="G113" t="s">
        <v>55</v>
      </c>
      <c r="H113" t="s">
        <v>39</v>
      </c>
      <c r="I113" t="s">
        <v>40</v>
      </c>
      <c r="J113" t="s">
        <v>41</v>
      </c>
      <c r="K113">
        <v>0</v>
      </c>
      <c r="L113">
        <v>0</v>
      </c>
      <c r="M113">
        <v>0</v>
      </c>
      <c r="N113">
        <v>500</v>
      </c>
      <c r="O113">
        <v>540.94448048355696</v>
      </c>
      <c r="P113" t="s">
        <v>41</v>
      </c>
      <c r="Q113">
        <v>0</v>
      </c>
      <c r="R113" t="s">
        <v>50</v>
      </c>
      <c r="S113">
        <v>1940</v>
      </c>
      <c r="T113" t="s">
        <v>40</v>
      </c>
      <c r="U113" t="s">
        <v>40</v>
      </c>
      <c r="V113" t="s">
        <v>155</v>
      </c>
      <c r="W113" t="s">
        <v>156</v>
      </c>
      <c r="X113" t="s">
        <v>41</v>
      </c>
      <c r="Y113" t="s">
        <v>41</v>
      </c>
      <c r="Z113" t="s">
        <v>43</v>
      </c>
      <c r="AA113">
        <v>1988</v>
      </c>
      <c r="AB113" t="s">
        <v>317</v>
      </c>
      <c r="AC113" t="s">
        <v>152</v>
      </c>
      <c r="AD113" t="s">
        <v>152</v>
      </c>
    </row>
    <row r="114" spans="1:30" x14ac:dyDescent="0.3">
      <c r="A114">
        <v>28533</v>
      </c>
      <c r="B114">
        <v>28533</v>
      </c>
      <c r="C114">
        <v>1</v>
      </c>
      <c r="D114" t="s">
        <v>330</v>
      </c>
      <c r="E114" t="s">
        <v>331</v>
      </c>
      <c r="F114" t="s">
        <v>149</v>
      </c>
      <c r="G114" t="s">
        <v>55</v>
      </c>
      <c r="H114" t="s">
        <v>39</v>
      </c>
      <c r="I114" t="s">
        <v>40</v>
      </c>
      <c r="J114" t="s">
        <v>41</v>
      </c>
      <c r="K114">
        <v>0</v>
      </c>
      <c r="L114">
        <v>0</v>
      </c>
      <c r="M114">
        <v>0</v>
      </c>
      <c r="N114">
        <v>120</v>
      </c>
      <c r="O114">
        <v>167.699515689452</v>
      </c>
      <c r="P114" t="s">
        <v>41</v>
      </c>
      <c r="Q114">
        <v>0</v>
      </c>
      <c r="R114" t="s">
        <v>50</v>
      </c>
      <c r="S114">
        <v>1941</v>
      </c>
      <c r="T114" t="s">
        <v>40</v>
      </c>
      <c r="U114" t="s">
        <v>40</v>
      </c>
      <c r="V114" t="s">
        <v>150</v>
      </c>
      <c r="W114" t="s">
        <v>40</v>
      </c>
      <c r="X114" t="s">
        <v>41</v>
      </c>
      <c r="Y114" t="s">
        <v>41</v>
      </c>
      <c r="Z114" t="s">
        <v>43</v>
      </c>
      <c r="AA114">
        <v>1988</v>
      </c>
      <c r="AB114" t="s">
        <v>332</v>
      </c>
      <c r="AC114" t="s">
        <v>152</v>
      </c>
      <c r="AD114" t="s">
        <v>152</v>
      </c>
    </row>
    <row r="115" spans="1:30" x14ac:dyDescent="0.3">
      <c r="A115">
        <v>555705182</v>
      </c>
      <c r="B115">
        <v>555705182</v>
      </c>
      <c r="C115">
        <v>1</v>
      </c>
      <c r="D115" t="s">
        <v>333</v>
      </c>
      <c r="E115" t="s">
        <v>334</v>
      </c>
      <c r="F115" t="s">
        <v>149</v>
      </c>
      <c r="G115" t="s">
        <v>55</v>
      </c>
      <c r="H115" t="s">
        <v>39</v>
      </c>
      <c r="I115" t="s">
        <v>40</v>
      </c>
      <c r="J115" t="s">
        <v>41</v>
      </c>
      <c r="K115">
        <v>0</v>
      </c>
      <c r="L115">
        <v>0</v>
      </c>
      <c r="M115">
        <v>0</v>
      </c>
      <c r="N115">
        <v>90</v>
      </c>
      <c r="O115">
        <v>94.350922265835294</v>
      </c>
      <c r="P115" t="s">
        <v>41</v>
      </c>
      <c r="Q115">
        <v>0</v>
      </c>
      <c r="R115" t="s">
        <v>50</v>
      </c>
      <c r="S115">
        <v>1953</v>
      </c>
      <c r="T115" t="s">
        <v>40</v>
      </c>
      <c r="U115" t="s">
        <v>40</v>
      </c>
      <c r="V115" t="s">
        <v>150</v>
      </c>
      <c r="W115" t="s">
        <v>40</v>
      </c>
      <c r="X115" t="s">
        <v>41</v>
      </c>
      <c r="Y115" t="s">
        <v>41</v>
      </c>
      <c r="Z115" t="s">
        <v>43</v>
      </c>
      <c r="AA115">
        <v>1988</v>
      </c>
      <c r="AB115" t="s">
        <v>332</v>
      </c>
      <c r="AC115" t="s">
        <v>152</v>
      </c>
      <c r="AD115" t="s">
        <v>152</v>
      </c>
    </row>
    <row r="116" spans="1:30" x14ac:dyDescent="0.3">
      <c r="A116">
        <v>28553</v>
      </c>
      <c r="B116">
        <v>28553</v>
      </c>
      <c r="C116">
        <v>1</v>
      </c>
      <c r="D116" t="s">
        <v>335</v>
      </c>
      <c r="E116" t="s">
        <v>336</v>
      </c>
      <c r="F116" t="s">
        <v>149</v>
      </c>
      <c r="G116" t="s">
        <v>55</v>
      </c>
      <c r="H116" t="s">
        <v>39</v>
      </c>
      <c r="I116" t="s">
        <v>40</v>
      </c>
      <c r="J116" t="s">
        <v>41</v>
      </c>
      <c r="K116">
        <v>0</v>
      </c>
      <c r="L116">
        <v>0</v>
      </c>
      <c r="M116">
        <v>0</v>
      </c>
      <c r="N116">
        <v>167.5</v>
      </c>
      <c r="O116">
        <v>189.506190648276</v>
      </c>
      <c r="P116" t="s">
        <v>41</v>
      </c>
      <c r="Q116">
        <v>0</v>
      </c>
      <c r="R116" t="s">
        <v>50</v>
      </c>
      <c r="S116">
        <v>1936</v>
      </c>
      <c r="T116" t="s">
        <v>40</v>
      </c>
      <c r="U116" t="s">
        <v>40</v>
      </c>
      <c r="V116" t="s">
        <v>150</v>
      </c>
      <c r="W116" t="s">
        <v>40</v>
      </c>
      <c r="X116" t="s">
        <v>41</v>
      </c>
      <c r="Y116" t="s">
        <v>41</v>
      </c>
      <c r="Z116" t="s">
        <v>43</v>
      </c>
      <c r="AA116">
        <v>1988</v>
      </c>
      <c r="AB116" t="s">
        <v>207</v>
      </c>
      <c r="AC116" t="s">
        <v>152</v>
      </c>
      <c r="AD116" t="s">
        <v>152</v>
      </c>
    </row>
    <row r="117" spans="1:30" x14ac:dyDescent="0.3">
      <c r="A117">
        <v>28554</v>
      </c>
      <c r="B117">
        <v>28554</v>
      </c>
      <c r="C117">
        <v>1</v>
      </c>
      <c r="D117" t="s">
        <v>337</v>
      </c>
      <c r="E117" t="s">
        <v>338</v>
      </c>
      <c r="F117" t="s">
        <v>149</v>
      </c>
      <c r="G117" t="s">
        <v>55</v>
      </c>
      <c r="H117" t="s">
        <v>39</v>
      </c>
      <c r="I117" t="s">
        <v>40</v>
      </c>
      <c r="J117" t="s">
        <v>41</v>
      </c>
      <c r="K117">
        <v>0</v>
      </c>
      <c r="L117">
        <v>0</v>
      </c>
      <c r="M117">
        <v>0</v>
      </c>
      <c r="N117">
        <v>376</v>
      </c>
      <c r="O117">
        <v>312.999567527625</v>
      </c>
      <c r="P117" t="s">
        <v>41</v>
      </c>
      <c r="Q117">
        <v>0</v>
      </c>
      <c r="R117" t="s">
        <v>50</v>
      </c>
      <c r="S117">
        <v>1940</v>
      </c>
      <c r="T117" t="s">
        <v>40</v>
      </c>
      <c r="U117" t="s">
        <v>40</v>
      </c>
      <c r="V117" t="s">
        <v>150</v>
      </c>
      <c r="W117" t="s">
        <v>40</v>
      </c>
      <c r="X117" t="s">
        <v>41</v>
      </c>
      <c r="Y117" t="s">
        <v>41</v>
      </c>
      <c r="Z117" t="s">
        <v>43</v>
      </c>
      <c r="AA117">
        <v>1988</v>
      </c>
      <c r="AB117" t="s">
        <v>207</v>
      </c>
      <c r="AC117" t="s">
        <v>152</v>
      </c>
      <c r="AD117" t="s">
        <v>152</v>
      </c>
    </row>
    <row r="118" spans="1:30" x14ac:dyDescent="0.3">
      <c r="A118">
        <v>313423</v>
      </c>
      <c r="B118">
        <v>313423</v>
      </c>
      <c r="C118">
        <v>1</v>
      </c>
      <c r="D118" t="s">
        <v>339</v>
      </c>
      <c r="E118" t="s">
        <v>340</v>
      </c>
      <c r="F118" t="s">
        <v>149</v>
      </c>
      <c r="G118" t="s">
        <v>55</v>
      </c>
      <c r="H118" t="s">
        <v>39</v>
      </c>
      <c r="I118" t="s">
        <v>40</v>
      </c>
      <c r="J118" t="s">
        <v>41</v>
      </c>
      <c r="K118">
        <v>0</v>
      </c>
      <c r="L118">
        <v>0</v>
      </c>
      <c r="M118">
        <v>0</v>
      </c>
      <c r="N118">
        <v>7</v>
      </c>
      <c r="O118">
        <v>5.2419400478486597</v>
      </c>
      <c r="P118" t="s">
        <v>41</v>
      </c>
      <c r="Q118">
        <v>0</v>
      </c>
      <c r="R118" t="s">
        <v>50</v>
      </c>
      <c r="S118">
        <v>1934</v>
      </c>
      <c r="T118" t="s">
        <v>40</v>
      </c>
      <c r="U118" t="s">
        <v>40</v>
      </c>
      <c r="V118" t="s">
        <v>150</v>
      </c>
      <c r="W118" t="s">
        <v>40</v>
      </c>
      <c r="X118" t="s">
        <v>41</v>
      </c>
      <c r="Y118" t="s">
        <v>41</v>
      </c>
      <c r="Z118" t="s">
        <v>43</v>
      </c>
      <c r="AA118">
        <v>1988</v>
      </c>
      <c r="AB118" t="s">
        <v>308</v>
      </c>
      <c r="AC118" t="s">
        <v>152</v>
      </c>
      <c r="AD118" t="s">
        <v>152</v>
      </c>
    </row>
    <row r="119" spans="1:30" x14ac:dyDescent="0.3">
      <c r="A119">
        <v>28559</v>
      </c>
      <c r="B119">
        <v>28559</v>
      </c>
      <c r="C119">
        <v>1</v>
      </c>
      <c r="D119" t="s">
        <v>341</v>
      </c>
      <c r="E119" t="s">
        <v>342</v>
      </c>
      <c r="F119" t="s">
        <v>149</v>
      </c>
      <c r="G119" t="s">
        <v>55</v>
      </c>
      <c r="H119" t="s">
        <v>39</v>
      </c>
      <c r="I119" t="s">
        <v>40</v>
      </c>
      <c r="J119" t="s">
        <v>41</v>
      </c>
      <c r="K119">
        <v>0</v>
      </c>
      <c r="L119">
        <v>0</v>
      </c>
      <c r="M119">
        <v>0</v>
      </c>
      <c r="N119">
        <v>5.5</v>
      </c>
      <c r="O119">
        <v>5.2122248315019499</v>
      </c>
      <c r="P119" t="s">
        <v>41</v>
      </c>
      <c r="Q119">
        <v>0</v>
      </c>
      <c r="R119" t="s">
        <v>50</v>
      </c>
      <c r="S119">
        <v>1943</v>
      </c>
      <c r="T119" t="s">
        <v>40</v>
      </c>
      <c r="U119" t="s">
        <v>40</v>
      </c>
      <c r="V119" t="s">
        <v>150</v>
      </c>
      <c r="W119" t="s">
        <v>40</v>
      </c>
      <c r="X119" t="s">
        <v>41</v>
      </c>
      <c r="Y119" t="s">
        <v>41</v>
      </c>
      <c r="Z119" t="s">
        <v>43</v>
      </c>
      <c r="AA119">
        <v>1988</v>
      </c>
      <c r="AB119" t="s">
        <v>308</v>
      </c>
      <c r="AC119" t="s">
        <v>152</v>
      </c>
      <c r="AD119" t="s">
        <v>152</v>
      </c>
    </row>
    <row r="120" spans="1:30" x14ac:dyDescent="0.3">
      <c r="A120">
        <v>28551</v>
      </c>
      <c r="B120">
        <v>28551</v>
      </c>
      <c r="C120">
        <v>1</v>
      </c>
      <c r="D120" t="s">
        <v>343</v>
      </c>
      <c r="E120" t="s">
        <v>344</v>
      </c>
      <c r="F120" t="s">
        <v>149</v>
      </c>
      <c r="G120" t="s">
        <v>55</v>
      </c>
      <c r="H120" t="s">
        <v>39</v>
      </c>
      <c r="I120" t="s">
        <v>40</v>
      </c>
      <c r="J120" t="s">
        <v>41</v>
      </c>
      <c r="K120">
        <v>0</v>
      </c>
      <c r="L120">
        <v>0</v>
      </c>
      <c r="M120">
        <v>0</v>
      </c>
      <c r="N120">
        <v>48</v>
      </c>
      <c r="O120">
        <v>80.652812932152898</v>
      </c>
      <c r="P120" t="s">
        <v>41</v>
      </c>
      <c r="Q120">
        <v>0</v>
      </c>
      <c r="R120" t="s">
        <v>50</v>
      </c>
      <c r="S120">
        <v>1936</v>
      </c>
      <c r="T120" t="s">
        <v>40</v>
      </c>
      <c r="U120" t="s">
        <v>40</v>
      </c>
      <c r="V120" t="s">
        <v>150</v>
      </c>
      <c r="W120" t="s">
        <v>40</v>
      </c>
      <c r="X120" t="s">
        <v>41</v>
      </c>
      <c r="Y120" t="s">
        <v>41</v>
      </c>
      <c r="Z120" t="s">
        <v>43</v>
      </c>
      <c r="AA120">
        <v>1988</v>
      </c>
      <c r="AB120" t="s">
        <v>207</v>
      </c>
      <c r="AC120" t="s">
        <v>152</v>
      </c>
      <c r="AD120" t="s">
        <v>152</v>
      </c>
    </row>
    <row r="121" spans="1:30" x14ac:dyDescent="0.3">
      <c r="A121">
        <v>555625776</v>
      </c>
      <c r="B121">
        <v>555625776</v>
      </c>
      <c r="C121">
        <v>1</v>
      </c>
      <c r="D121" t="s">
        <v>345</v>
      </c>
      <c r="E121" t="s">
        <v>345</v>
      </c>
      <c r="F121" t="s">
        <v>116</v>
      </c>
      <c r="G121" t="s">
        <v>116</v>
      </c>
      <c r="H121" t="s">
        <v>82</v>
      </c>
      <c r="I121" t="s">
        <v>49</v>
      </c>
      <c r="J121" t="s">
        <v>346</v>
      </c>
      <c r="K121">
        <v>0</v>
      </c>
      <c r="L121">
        <v>0</v>
      </c>
      <c r="M121">
        <v>0</v>
      </c>
      <c r="N121">
        <v>1345.52999999999</v>
      </c>
      <c r="O121">
        <v>1381.8833909003799</v>
      </c>
      <c r="P121" t="s">
        <v>41</v>
      </c>
      <c r="Q121">
        <v>0</v>
      </c>
      <c r="R121" t="s">
        <v>50</v>
      </c>
      <c r="S121">
        <v>2017</v>
      </c>
      <c r="T121" t="s">
        <v>66</v>
      </c>
      <c r="U121" t="s">
        <v>51</v>
      </c>
      <c r="V121" t="s">
        <v>347</v>
      </c>
      <c r="W121" t="s">
        <v>348</v>
      </c>
      <c r="X121" t="s">
        <v>41</v>
      </c>
      <c r="Y121" t="s">
        <v>41</v>
      </c>
      <c r="Z121" t="s">
        <v>43</v>
      </c>
      <c r="AA121">
        <v>1856</v>
      </c>
      <c r="AB121" t="s">
        <v>349</v>
      </c>
      <c r="AC121" t="s">
        <v>152</v>
      </c>
      <c r="AD121" t="s">
        <v>152</v>
      </c>
    </row>
    <row r="122" spans="1:30" x14ac:dyDescent="0.3">
      <c r="A122">
        <v>555705200</v>
      </c>
      <c r="B122">
        <v>555705200</v>
      </c>
      <c r="C122">
        <v>1</v>
      </c>
      <c r="D122" t="s">
        <v>350</v>
      </c>
      <c r="E122" t="s">
        <v>350</v>
      </c>
      <c r="F122" t="s">
        <v>116</v>
      </c>
      <c r="G122" t="s">
        <v>116</v>
      </c>
      <c r="H122" t="s">
        <v>82</v>
      </c>
      <c r="I122" t="s">
        <v>40</v>
      </c>
      <c r="J122" t="s">
        <v>351</v>
      </c>
      <c r="K122">
        <v>0</v>
      </c>
      <c r="L122">
        <v>0</v>
      </c>
      <c r="M122">
        <v>0</v>
      </c>
      <c r="N122">
        <v>9.4499999999999904</v>
      </c>
      <c r="O122">
        <v>9.4532112569147806</v>
      </c>
      <c r="P122" t="s">
        <v>41</v>
      </c>
      <c r="Q122">
        <v>0</v>
      </c>
      <c r="R122" t="s">
        <v>50</v>
      </c>
      <c r="S122">
        <v>2019</v>
      </c>
      <c r="T122" t="s">
        <v>40</v>
      </c>
      <c r="U122" t="s">
        <v>40</v>
      </c>
      <c r="V122" t="s">
        <v>347</v>
      </c>
      <c r="W122" t="s">
        <v>40</v>
      </c>
      <c r="X122" t="s">
        <v>41</v>
      </c>
      <c r="Y122" t="s">
        <v>41</v>
      </c>
      <c r="Z122" t="s">
        <v>43</v>
      </c>
      <c r="AA122">
        <v>1988</v>
      </c>
      <c r="AB122" t="s">
        <v>311</v>
      </c>
      <c r="AC122" t="s">
        <v>152</v>
      </c>
      <c r="AD122" t="s">
        <v>152</v>
      </c>
    </row>
    <row r="123" spans="1:30" x14ac:dyDescent="0.3">
      <c r="A123">
        <v>902869</v>
      </c>
      <c r="B123">
        <v>902869</v>
      </c>
      <c r="C123">
        <v>1</v>
      </c>
      <c r="D123" t="s">
        <v>352</v>
      </c>
      <c r="E123" t="s">
        <v>352</v>
      </c>
      <c r="F123" t="s">
        <v>353</v>
      </c>
      <c r="G123" t="s">
        <v>116</v>
      </c>
      <c r="H123" t="s">
        <v>82</v>
      </c>
      <c r="I123" t="s">
        <v>40</v>
      </c>
      <c r="J123" t="s">
        <v>354</v>
      </c>
      <c r="K123">
        <v>0</v>
      </c>
      <c r="L123">
        <v>0</v>
      </c>
      <c r="M123">
        <v>0</v>
      </c>
      <c r="N123">
        <v>7737.7299999999896</v>
      </c>
      <c r="O123">
        <v>7744.2885793028499</v>
      </c>
      <c r="P123" t="s">
        <v>41</v>
      </c>
      <c r="Q123">
        <v>0</v>
      </c>
      <c r="R123" t="s">
        <v>50</v>
      </c>
      <c r="S123">
        <v>2012</v>
      </c>
      <c r="T123" t="s">
        <v>40</v>
      </c>
      <c r="U123" t="s">
        <v>40</v>
      </c>
      <c r="V123" t="s">
        <v>40</v>
      </c>
      <c r="W123" t="s">
        <v>156</v>
      </c>
      <c r="X123" t="s">
        <v>41</v>
      </c>
      <c r="Y123" t="s">
        <v>41</v>
      </c>
      <c r="Z123" t="s">
        <v>43</v>
      </c>
      <c r="AA123">
        <v>1856</v>
      </c>
      <c r="AB123" t="s">
        <v>355</v>
      </c>
      <c r="AC123" t="s">
        <v>356</v>
      </c>
      <c r="AD123" t="s">
        <v>356</v>
      </c>
    </row>
    <row r="124" spans="1:30" x14ac:dyDescent="0.3">
      <c r="A124">
        <v>1245</v>
      </c>
      <c r="B124">
        <v>1245</v>
      </c>
      <c r="C124">
        <v>1</v>
      </c>
      <c r="D124" t="s">
        <v>357</v>
      </c>
      <c r="E124" t="s">
        <v>357</v>
      </c>
      <c r="F124" t="s">
        <v>158</v>
      </c>
      <c r="G124" t="s">
        <v>123</v>
      </c>
      <c r="H124" t="s">
        <v>39</v>
      </c>
      <c r="I124" t="s">
        <v>124</v>
      </c>
      <c r="J124" t="s">
        <v>41</v>
      </c>
      <c r="K124">
        <v>0</v>
      </c>
      <c r="L124">
        <v>0</v>
      </c>
      <c r="M124">
        <v>0</v>
      </c>
      <c r="N124">
        <v>2178.53999999999</v>
      </c>
      <c r="O124">
        <v>2154.5469300805798</v>
      </c>
      <c r="P124" t="s">
        <v>41</v>
      </c>
      <c r="Q124">
        <v>0</v>
      </c>
      <c r="R124" t="s">
        <v>50</v>
      </c>
      <c r="S124">
        <v>2001</v>
      </c>
      <c r="T124" t="s">
        <v>66</v>
      </c>
      <c r="U124" t="s">
        <v>51</v>
      </c>
      <c r="V124" t="s">
        <v>358</v>
      </c>
      <c r="W124" t="s">
        <v>359</v>
      </c>
      <c r="X124" t="s">
        <v>41</v>
      </c>
      <c r="Y124" t="s">
        <v>41</v>
      </c>
      <c r="Z124" t="s">
        <v>43</v>
      </c>
      <c r="AA124">
        <v>1957</v>
      </c>
      <c r="AB124" t="s">
        <v>360</v>
      </c>
      <c r="AC124" t="s">
        <v>356</v>
      </c>
      <c r="AD124" t="s">
        <v>356</v>
      </c>
    </row>
    <row r="125" spans="1:30" x14ac:dyDescent="0.3">
      <c r="A125">
        <v>607</v>
      </c>
      <c r="B125">
        <v>607</v>
      </c>
      <c r="C125">
        <v>1</v>
      </c>
      <c r="D125" t="s">
        <v>361</v>
      </c>
      <c r="E125" t="s">
        <v>361</v>
      </c>
      <c r="F125" t="s">
        <v>158</v>
      </c>
      <c r="G125" t="s">
        <v>123</v>
      </c>
      <c r="H125" t="s">
        <v>39</v>
      </c>
      <c r="I125" t="s">
        <v>124</v>
      </c>
      <c r="J125" t="s">
        <v>41</v>
      </c>
      <c r="K125">
        <v>0</v>
      </c>
      <c r="L125">
        <v>0</v>
      </c>
      <c r="M125">
        <v>0</v>
      </c>
      <c r="N125">
        <v>1800</v>
      </c>
      <c r="O125">
        <v>1980.3368604811999</v>
      </c>
      <c r="P125" t="s">
        <v>41</v>
      </c>
      <c r="Q125">
        <v>0</v>
      </c>
      <c r="R125" t="s">
        <v>50</v>
      </c>
      <c r="S125">
        <v>1968</v>
      </c>
      <c r="T125" t="s">
        <v>66</v>
      </c>
      <c r="U125" t="s">
        <v>51</v>
      </c>
      <c r="V125" t="s">
        <v>358</v>
      </c>
      <c r="W125" t="s">
        <v>362</v>
      </c>
      <c r="X125" t="s">
        <v>41</v>
      </c>
      <c r="Y125" t="s">
        <v>41</v>
      </c>
      <c r="Z125" t="s">
        <v>43</v>
      </c>
      <c r="AA125">
        <v>1957</v>
      </c>
      <c r="AB125" t="s">
        <v>363</v>
      </c>
      <c r="AC125" t="s">
        <v>356</v>
      </c>
      <c r="AD125" t="s">
        <v>356</v>
      </c>
    </row>
    <row r="126" spans="1:30" x14ac:dyDescent="0.3">
      <c r="A126">
        <v>3011</v>
      </c>
      <c r="B126">
        <v>3011</v>
      </c>
      <c r="C126">
        <v>1</v>
      </c>
      <c r="D126" t="s">
        <v>364</v>
      </c>
      <c r="E126" t="s">
        <v>365</v>
      </c>
      <c r="F126" t="s">
        <v>366</v>
      </c>
      <c r="G126" t="s">
        <v>81</v>
      </c>
      <c r="H126" t="s">
        <v>82</v>
      </c>
      <c r="I126" t="s">
        <v>41</v>
      </c>
      <c r="J126" t="s">
        <v>41</v>
      </c>
      <c r="K126">
        <v>0</v>
      </c>
      <c r="L126">
        <v>0</v>
      </c>
      <c r="M126">
        <v>0</v>
      </c>
      <c r="N126">
        <v>1800</v>
      </c>
      <c r="O126">
        <v>1665.7119378637699</v>
      </c>
      <c r="P126" t="s">
        <v>41</v>
      </c>
      <c r="Q126">
        <v>0</v>
      </c>
      <c r="R126" t="s">
        <v>50</v>
      </c>
      <c r="S126">
        <v>1981</v>
      </c>
      <c r="T126" t="s">
        <v>40</v>
      </c>
      <c r="U126" t="s">
        <v>40</v>
      </c>
      <c r="V126" t="s">
        <v>40</v>
      </c>
      <c r="W126" t="s">
        <v>40</v>
      </c>
      <c r="X126" t="s">
        <v>41</v>
      </c>
      <c r="Y126" t="s">
        <v>41</v>
      </c>
      <c r="Z126" t="s">
        <v>43</v>
      </c>
      <c r="AA126">
        <v>1957</v>
      </c>
      <c r="AB126" t="s">
        <v>363</v>
      </c>
      <c r="AC126" t="s">
        <v>356</v>
      </c>
      <c r="AD126" t="s">
        <v>356</v>
      </c>
    </row>
    <row r="127" spans="1:30" x14ac:dyDescent="0.3">
      <c r="A127">
        <v>555705205</v>
      </c>
      <c r="B127">
        <v>555705205</v>
      </c>
      <c r="C127">
        <v>1</v>
      </c>
      <c r="D127" t="s">
        <v>367</v>
      </c>
      <c r="E127" t="s">
        <v>367</v>
      </c>
      <c r="F127" t="s">
        <v>123</v>
      </c>
      <c r="G127" t="s">
        <v>123</v>
      </c>
      <c r="H127" t="s">
        <v>39</v>
      </c>
      <c r="I127" t="s">
        <v>124</v>
      </c>
      <c r="J127" t="s">
        <v>41</v>
      </c>
      <c r="K127">
        <v>0</v>
      </c>
      <c r="L127">
        <v>0</v>
      </c>
      <c r="M127">
        <v>0</v>
      </c>
      <c r="N127">
        <v>45366</v>
      </c>
      <c r="O127">
        <v>45821.368027741803</v>
      </c>
      <c r="P127" t="s">
        <v>41</v>
      </c>
      <c r="Q127">
        <v>0</v>
      </c>
      <c r="R127" t="s">
        <v>50</v>
      </c>
      <c r="S127">
        <v>2017</v>
      </c>
      <c r="T127" t="s">
        <v>66</v>
      </c>
      <c r="U127" t="s">
        <v>40</v>
      </c>
      <c r="V127" t="s">
        <v>368</v>
      </c>
      <c r="W127" t="s">
        <v>40</v>
      </c>
      <c r="X127" t="s">
        <v>41</v>
      </c>
      <c r="Y127" t="s">
        <v>41</v>
      </c>
      <c r="Z127" t="s">
        <v>43</v>
      </c>
      <c r="AA127">
        <v>1930</v>
      </c>
      <c r="AB127" t="s">
        <v>369</v>
      </c>
      <c r="AC127" t="s">
        <v>370</v>
      </c>
      <c r="AD127" t="s">
        <v>370</v>
      </c>
    </row>
    <row r="128" spans="1:30" x14ac:dyDescent="0.3">
      <c r="A128">
        <v>555721624</v>
      </c>
      <c r="B128">
        <v>555721624</v>
      </c>
      <c r="C128">
        <v>1</v>
      </c>
      <c r="D128" t="s">
        <v>371</v>
      </c>
      <c r="E128" t="s">
        <v>371</v>
      </c>
      <c r="F128" t="s">
        <v>372</v>
      </c>
      <c r="G128" t="s">
        <v>372</v>
      </c>
      <c r="H128" t="s">
        <v>39</v>
      </c>
      <c r="I128" t="s">
        <v>49</v>
      </c>
      <c r="J128" t="s">
        <v>41</v>
      </c>
      <c r="K128">
        <v>0</v>
      </c>
      <c r="L128">
        <v>0</v>
      </c>
      <c r="M128">
        <v>0</v>
      </c>
      <c r="N128">
        <v>0</v>
      </c>
      <c r="O128">
        <v>905.31108670938704</v>
      </c>
      <c r="P128" t="s">
        <v>41</v>
      </c>
      <c r="Q128">
        <v>0</v>
      </c>
      <c r="R128" t="s">
        <v>50</v>
      </c>
      <c r="S128">
        <v>2010</v>
      </c>
      <c r="T128" t="s">
        <v>373</v>
      </c>
      <c r="U128" t="s">
        <v>51</v>
      </c>
      <c r="V128" t="s">
        <v>374</v>
      </c>
      <c r="W128" t="s">
        <v>40</v>
      </c>
      <c r="X128" t="s">
        <v>41</v>
      </c>
      <c r="Y128" t="s">
        <v>41</v>
      </c>
      <c r="Z128" t="s">
        <v>43</v>
      </c>
      <c r="AA128">
        <v>1930</v>
      </c>
      <c r="AB128" t="s">
        <v>40</v>
      </c>
      <c r="AC128" t="s">
        <v>370</v>
      </c>
      <c r="AD128" t="s">
        <v>370</v>
      </c>
    </row>
    <row r="129" spans="1:30" x14ac:dyDescent="0.3">
      <c r="A129">
        <v>2279</v>
      </c>
      <c r="B129">
        <v>2279</v>
      </c>
      <c r="C129">
        <v>1</v>
      </c>
      <c r="D129" t="s">
        <v>375</v>
      </c>
      <c r="E129" t="s">
        <v>375</v>
      </c>
      <c r="F129" t="s">
        <v>123</v>
      </c>
      <c r="G129" t="s">
        <v>123</v>
      </c>
      <c r="H129" t="s">
        <v>39</v>
      </c>
      <c r="I129" t="s">
        <v>124</v>
      </c>
      <c r="J129" t="s">
        <v>41</v>
      </c>
      <c r="K129">
        <v>0</v>
      </c>
      <c r="L129">
        <v>0</v>
      </c>
      <c r="M129">
        <v>0</v>
      </c>
      <c r="N129">
        <v>887</v>
      </c>
      <c r="O129">
        <v>918.19059602358004</v>
      </c>
      <c r="P129" t="s">
        <v>41</v>
      </c>
      <c r="Q129">
        <v>0</v>
      </c>
      <c r="R129" t="s">
        <v>50</v>
      </c>
      <c r="S129">
        <v>1963</v>
      </c>
      <c r="T129" t="s">
        <v>66</v>
      </c>
      <c r="U129" t="s">
        <v>40</v>
      </c>
      <c r="V129" t="s">
        <v>376</v>
      </c>
      <c r="W129" t="s">
        <v>40</v>
      </c>
      <c r="X129" t="s">
        <v>41</v>
      </c>
      <c r="Y129" t="s">
        <v>41</v>
      </c>
      <c r="Z129" t="s">
        <v>43</v>
      </c>
      <c r="AA129">
        <v>1930</v>
      </c>
      <c r="AB129" t="s">
        <v>369</v>
      </c>
      <c r="AC129" t="s">
        <v>370</v>
      </c>
      <c r="AD129" t="s">
        <v>370</v>
      </c>
    </row>
    <row r="130" spans="1:30" x14ac:dyDescent="0.3">
      <c r="A130">
        <v>555721627</v>
      </c>
      <c r="B130">
        <v>555721627</v>
      </c>
      <c r="C130">
        <v>1</v>
      </c>
      <c r="D130" t="s">
        <v>377</v>
      </c>
      <c r="E130" t="s">
        <v>377</v>
      </c>
      <c r="F130" t="s">
        <v>378</v>
      </c>
      <c r="G130" t="s">
        <v>378</v>
      </c>
      <c r="H130" t="s">
        <v>39</v>
      </c>
      <c r="I130" t="s">
        <v>49</v>
      </c>
      <c r="J130" t="s">
        <v>41</v>
      </c>
      <c r="K130">
        <v>0</v>
      </c>
      <c r="L130">
        <v>0</v>
      </c>
      <c r="M130">
        <v>0</v>
      </c>
      <c r="N130">
        <v>0</v>
      </c>
      <c r="O130">
        <v>318.77582182196801</v>
      </c>
      <c r="P130" t="s">
        <v>41</v>
      </c>
      <c r="Q130">
        <v>0</v>
      </c>
      <c r="R130" t="s">
        <v>50</v>
      </c>
      <c r="S130">
        <v>2012</v>
      </c>
      <c r="T130" t="s">
        <v>373</v>
      </c>
      <c r="U130" t="s">
        <v>51</v>
      </c>
      <c r="V130" t="s">
        <v>368</v>
      </c>
      <c r="W130" t="s">
        <v>40</v>
      </c>
      <c r="X130" t="s">
        <v>41</v>
      </c>
      <c r="Y130" t="s">
        <v>41</v>
      </c>
      <c r="Z130" t="s">
        <v>43</v>
      </c>
      <c r="AA130">
        <v>1930</v>
      </c>
      <c r="AB130" t="s">
        <v>40</v>
      </c>
      <c r="AC130" t="s">
        <v>370</v>
      </c>
      <c r="AD130" t="s">
        <v>370</v>
      </c>
    </row>
    <row r="131" spans="1:30" x14ac:dyDescent="0.3">
      <c r="A131">
        <v>555721615</v>
      </c>
      <c r="B131">
        <v>555721615</v>
      </c>
      <c r="C131">
        <v>1</v>
      </c>
      <c r="D131" t="s">
        <v>379</v>
      </c>
      <c r="E131" t="s">
        <v>379</v>
      </c>
      <c r="F131" t="s">
        <v>372</v>
      </c>
      <c r="G131" t="s">
        <v>372</v>
      </c>
      <c r="H131" t="s">
        <v>39</v>
      </c>
      <c r="I131" t="s">
        <v>49</v>
      </c>
      <c r="J131" t="s">
        <v>41</v>
      </c>
      <c r="K131">
        <v>0</v>
      </c>
      <c r="L131">
        <v>0</v>
      </c>
      <c r="M131">
        <v>0</v>
      </c>
      <c r="N131">
        <v>0</v>
      </c>
      <c r="O131">
        <v>640.07340060136005</v>
      </c>
      <c r="P131" t="s">
        <v>41</v>
      </c>
      <c r="Q131">
        <v>0</v>
      </c>
      <c r="R131" t="s">
        <v>50</v>
      </c>
      <c r="S131">
        <v>2000</v>
      </c>
      <c r="T131" t="s">
        <v>373</v>
      </c>
      <c r="U131" t="s">
        <v>51</v>
      </c>
      <c r="V131" t="s">
        <v>374</v>
      </c>
      <c r="W131" t="s">
        <v>40</v>
      </c>
      <c r="X131" t="s">
        <v>41</v>
      </c>
      <c r="Y131" t="s">
        <v>41</v>
      </c>
      <c r="Z131" t="s">
        <v>43</v>
      </c>
      <c r="AA131">
        <v>1930</v>
      </c>
      <c r="AB131" t="s">
        <v>40</v>
      </c>
      <c r="AC131" t="s">
        <v>370</v>
      </c>
      <c r="AD131" t="s">
        <v>370</v>
      </c>
    </row>
    <row r="132" spans="1:30" x14ac:dyDescent="0.3">
      <c r="A132">
        <v>10740</v>
      </c>
      <c r="B132">
        <v>555705203</v>
      </c>
      <c r="C132">
        <v>1</v>
      </c>
      <c r="D132" t="s">
        <v>380</v>
      </c>
      <c r="E132" t="s">
        <v>380</v>
      </c>
      <c r="F132" t="s">
        <v>123</v>
      </c>
      <c r="G132" t="s">
        <v>381</v>
      </c>
      <c r="H132" t="s">
        <v>39</v>
      </c>
      <c r="I132" t="s">
        <v>124</v>
      </c>
      <c r="J132" t="s">
        <v>41</v>
      </c>
      <c r="K132">
        <v>0</v>
      </c>
      <c r="L132">
        <v>0</v>
      </c>
      <c r="M132">
        <v>0</v>
      </c>
      <c r="N132">
        <v>1832</v>
      </c>
      <c r="O132">
        <v>1458.9101106084699</v>
      </c>
      <c r="P132" t="s">
        <v>41</v>
      </c>
      <c r="Q132">
        <v>0</v>
      </c>
      <c r="R132" t="s">
        <v>42</v>
      </c>
      <c r="S132">
        <v>1973</v>
      </c>
      <c r="T132" t="s">
        <v>66</v>
      </c>
      <c r="U132" t="s">
        <v>40</v>
      </c>
      <c r="V132" t="s">
        <v>376</v>
      </c>
      <c r="W132" t="s">
        <v>40</v>
      </c>
      <c r="X132" t="s">
        <v>41</v>
      </c>
      <c r="Y132" t="s">
        <v>41</v>
      </c>
      <c r="Z132" t="s">
        <v>43</v>
      </c>
      <c r="AA132">
        <v>1930</v>
      </c>
      <c r="AB132" t="s">
        <v>369</v>
      </c>
      <c r="AC132" t="s">
        <v>370</v>
      </c>
      <c r="AD132" t="s">
        <v>370</v>
      </c>
    </row>
    <row r="133" spans="1:30" x14ac:dyDescent="0.3">
      <c r="A133">
        <v>7397</v>
      </c>
      <c r="B133">
        <v>7397</v>
      </c>
      <c r="C133">
        <v>1</v>
      </c>
      <c r="D133" t="s">
        <v>382</v>
      </c>
      <c r="E133" t="s">
        <v>382</v>
      </c>
      <c r="F133" t="s">
        <v>381</v>
      </c>
      <c r="G133" t="s">
        <v>381</v>
      </c>
      <c r="H133" t="s">
        <v>39</v>
      </c>
      <c r="I133" t="s">
        <v>74</v>
      </c>
      <c r="J133" t="s">
        <v>41</v>
      </c>
      <c r="K133">
        <v>0</v>
      </c>
      <c r="L133">
        <v>0</v>
      </c>
      <c r="M133">
        <v>0</v>
      </c>
      <c r="N133">
        <v>6503</v>
      </c>
      <c r="O133">
        <v>7308.8174231440498</v>
      </c>
      <c r="P133" t="s">
        <v>41</v>
      </c>
      <c r="Q133">
        <v>0</v>
      </c>
      <c r="R133" t="s">
        <v>50</v>
      </c>
      <c r="S133">
        <v>1973</v>
      </c>
      <c r="T133" t="s">
        <v>373</v>
      </c>
      <c r="U133" t="s">
        <v>40</v>
      </c>
      <c r="V133" t="s">
        <v>383</v>
      </c>
      <c r="W133" t="s">
        <v>40</v>
      </c>
      <c r="X133" t="s">
        <v>41</v>
      </c>
      <c r="Y133" t="s">
        <v>41</v>
      </c>
      <c r="Z133" t="s">
        <v>43</v>
      </c>
      <c r="AA133">
        <v>1930</v>
      </c>
      <c r="AB133" t="s">
        <v>384</v>
      </c>
      <c r="AC133" t="s">
        <v>370</v>
      </c>
      <c r="AD133" t="s">
        <v>370</v>
      </c>
    </row>
    <row r="134" spans="1:30" x14ac:dyDescent="0.3">
      <c r="A134">
        <v>29106</v>
      </c>
      <c r="B134">
        <v>29106</v>
      </c>
      <c r="C134">
        <v>1</v>
      </c>
      <c r="D134" t="s">
        <v>385</v>
      </c>
      <c r="E134" t="s">
        <v>385</v>
      </c>
      <c r="F134" t="s">
        <v>386</v>
      </c>
      <c r="G134" t="s">
        <v>386</v>
      </c>
      <c r="H134" t="s">
        <v>39</v>
      </c>
      <c r="I134" t="s">
        <v>40</v>
      </c>
      <c r="J134" t="s">
        <v>41</v>
      </c>
      <c r="K134">
        <v>0</v>
      </c>
      <c r="L134">
        <v>0</v>
      </c>
      <c r="M134">
        <v>0</v>
      </c>
      <c r="N134">
        <v>208</v>
      </c>
      <c r="O134">
        <v>219.59289679090699</v>
      </c>
      <c r="P134" t="s">
        <v>41</v>
      </c>
      <c r="Q134">
        <v>0</v>
      </c>
      <c r="R134" t="s">
        <v>42</v>
      </c>
      <c r="S134">
        <v>0</v>
      </c>
      <c r="T134" t="s">
        <v>40</v>
      </c>
      <c r="U134" t="s">
        <v>40</v>
      </c>
      <c r="V134" t="s">
        <v>40</v>
      </c>
      <c r="W134" t="s">
        <v>40</v>
      </c>
      <c r="X134" t="s">
        <v>41</v>
      </c>
      <c r="Y134" t="s">
        <v>41</v>
      </c>
      <c r="Z134" t="s">
        <v>43</v>
      </c>
      <c r="AA134">
        <v>1930</v>
      </c>
      <c r="AB134" t="s">
        <v>369</v>
      </c>
      <c r="AC134" t="s">
        <v>370</v>
      </c>
      <c r="AD134" t="s">
        <v>370</v>
      </c>
    </row>
    <row r="135" spans="1:30" x14ac:dyDescent="0.3">
      <c r="A135">
        <v>7396</v>
      </c>
      <c r="B135">
        <v>7396</v>
      </c>
      <c r="C135">
        <v>1</v>
      </c>
      <c r="D135" t="s">
        <v>387</v>
      </c>
      <c r="E135" t="s">
        <v>387</v>
      </c>
      <c r="F135" t="s">
        <v>381</v>
      </c>
      <c r="G135" t="s">
        <v>381</v>
      </c>
      <c r="H135" t="s">
        <v>39</v>
      </c>
      <c r="I135" t="s">
        <v>74</v>
      </c>
      <c r="J135" t="s">
        <v>41</v>
      </c>
      <c r="K135">
        <v>0</v>
      </c>
      <c r="L135">
        <v>0</v>
      </c>
      <c r="M135">
        <v>0</v>
      </c>
      <c r="N135">
        <v>2299</v>
      </c>
      <c r="O135">
        <v>3007.41030713385</v>
      </c>
      <c r="P135" t="s">
        <v>41</v>
      </c>
      <c r="Q135">
        <v>0</v>
      </c>
      <c r="R135" t="s">
        <v>50</v>
      </c>
      <c r="S135">
        <v>1973</v>
      </c>
      <c r="T135" t="s">
        <v>373</v>
      </c>
      <c r="U135" t="s">
        <v>40</v>
      </c>
      <c r="V135" t="s">
        <v>383</v>
      </c>
      <c r="W135" t="s">
        <v>40</v>
      </c>
      <c r="X135" t="s">
        <v>41</v>
      </c>
      <c r="Y135" t="s">
        <v>41</v>
      </c>
      <c r="Z135" t="s">
        <v>43</v>
      </c>
      <c r="AA135">
        <v>1930</v>
      </c>
      <c r="AB135" t="s">
        <v>384</v>
      </c>
      <c r="AC135" t="s">
        <v>370</v>
      </c>
      <c r="AD135" t="s">
        <v>370</v>
      </c>
    </row>
    <row r="136" spans="1:30" x14ac:dyDescent="0.3">
      <c r="A136">
        <v>13765</v>
      </c>
      <c r="B136">
        <v>13765</v>
      </c>
      <c r="C136">
        <v>1</v>
      </c>
      <c r="D136" t="s">
        <v>388</v>
      </c>
      <c r="E136" t="s">
        <v>388</v>
      </c>
      <c r="F136" t="s">
        <v>372</v>
      </c>
      <c r="G136" t="s">
        <v>372</v>
      </c>
      <c r="H136" t="s">
        <v>39</v>
      </c>
      <c r="I136" t="s">
        <v>49</v>
      </c>
      <c r="J136" t="s">
        <v>41</v>
      </c>
      <c r="K136">
        <v>0</v>
      </c>
      <c r="L136">
        <v>0</v>
      </c>
      <c r="M136">
        <v>0</v>
      </c>
      <c r="N136">
        <v>2386</v>
      </c>
      <c r="O136">
        <v>2628.82891059536</v>
      </c>
      <c r="P136" t="s">
        <v>41</v>
      </c>
      <c r="Q136">
        <v>0</v>
      </c>
      <c r="R136" t="s">
        <v>50</v>
      </c>
      <c r="S136">
        <v>1973</v>
      </c>
      <c r="T136" t="s">
        <v>373</v>
      </c>
      <c r="U136" t="s">
        <v>40</v>
      </c>
      <c r="V136" t="s">
        <v>40</v>
      </c>
      <c r="W136" t="s">
        <v>40</v>
      </c>
      <c r="X136" t="s">
        <v>41</v>
      </c>
      <c r="Y136" t="s">
        <v>41</v>
      </c>
      <c r="Z136" t="s">
        <v>43</v>
      </c>
      <c r="AA136">
        <v>1930</v>
      </c>
      <c r="AB136" t="s">
        <v>40</v>
      </c>
      <c r="AC136" t="s">
        <v>370</v>
      </c>
      <c r="AD136" t="s">
        <v>370</v>
      </c>
    </row>
    <row r="137" spans="1:30" x14ac:dyDescent="0.3">
      <c r="A137">
        <v>7398</v>
      </c>
      <c r="B137">
        <v>7398</v>
      </c>
      <c r="C137">
        <v>1</v>
      </c>
      <c r="D137" t="s">
        <v>389</v>
      </c>
      <c r="E137" t="s">
        <v>389</v>
      </c>
      <c r="F137" t="s">
        <v>381</v>
      </c>
      <c r="G137" t="s">
        <v>381</v>
      </c>
      <c r="H137" t="s">
        <v>39</v>
      </c>
      <c r="I137" t="s">
        <v>74</v>
      </c>
      <c r="J137" t="s">
        <v>41</v>
      </c>
      <c r="K137">
        <v>0</v>
      </c>
      <c r="L137">
        <v>0</v>
      </c>
      <c r="M137">
        <v>0</v>
      </c>
      <c r="N137">
        <v>4150</v>
      </c>
      <c r="O137">
        <v>1494.3481196973701</v>
      </c>
      <c r="P137" t="s">
        <v>41</v>
      </c>
      <c r="Q137">
        <v>0</v>
      </c>
      <c r="R137" t="s">
        <v>50</v>
      </c>
      <c r="S137">
        <v>1973</v>
      </c>
      <c r="T137" t="s">
        <v>373</v>
      </c>
      <c r="U137" t="s">
        <v>40</v>
      </c>
      <c r="V137" t="s">
        <v>383</v>
      </c>
      <c r="W137" t="s">
        <v>40</v>
      </c>
      <c r="X137" t="s">
        <v>41</v>
      </c>
      <c r="Y137" t="s">
        <v>41</v>
      </c>
      <c r="Z137" t="s">
        <v>43</v>
      </c>
      <c r="AA137">
        <v>1930</v>
      </c>
      <c r="AB137" t="s">
        <v>369</v>
      </c>
      <c r="AC137" t="s">
        <v>370</v>
      </c>
      <c r="AD137" t="s">
        <v>370</v>
      </c>
    </row>
    <row r="138" spans="1:30" x14ac:dyDescent="0.3">
      <c r="A138">
        <v>555721613</v>
      </c>
      <c r="B138">
        <v>555721613</v>
      </c>
      <c r="C138">
        <v>1</v>
      </c>
      <c r="D138" t="s">
        <v>390</v>
      </c>
      <c r="E138" t="s">
        <v>390</v>
      </c>
      <c r="F138" t="s">
        <v>372</v>
      </c>
      <c r="G138" t="s">
        <v>372</v>
      </c>
      <c r="H138" t="s">
        <v>39</v>
      </c>
      <c r="I138" t="s">
        <v>49</v>
      </c>
      <c r="J138" t="s">
        <v>41</v>
      </c>
      <c r="K138">
        <v>0</v>
      </c>
      <c r="L138">
        <v>0</v>
      </c>
      <c r="M138">
        <v>0</v>
      </c>
      <c r="N138">
        <v>0</v>
      </c>
      <c r="O138">
        <v>545.28057004439097</v>
      </c>
      <c r="P138" t="s">
        <v>41</v>
      </c>
      <c r="Q138">
        <v>0</v>
      </c>
      <c r="R138" t="s">
        <v>50</v>
      </c>
      <c r="S138">
        <v>1998</v>
      </c>
      <c r="T138" t="s">
        <v>373</v>
      </c>
      <c r="U138" t="s">
        <v>51</v>
      </c>
      <c r="V138" t="s">
        <v>391</v>
      </c>
      <c r="W138" t="s">
        <v>40</v>
      </c>
      <c r="X138" t="s">
        <v>41</v>
      </c>
      <c r="Y138" t="s">
        <v>41</v>
      </c>
      <c r="Z138" t="s">
        <v>43</v>
      </c>
      <c r="AA138">
        <v>1930</v>
      </c>
      <c r="AB138" t="s">
        <v>40</v>
      </c>
      <c r="AC138" t="s">
        <v>370</v>
      </c>
      <c r="AD138" t="s">
        <v>370</v>
      </c>
    </row>
    <row r="139" spans="1:30" x14ac:dyDescent="0.3">
      <c r="A139">
        <v>29076</v>
      </c>
      <c r="B139">
        <v>29076</v>
      </c>
      <c r="C139">
        <v>1</v>
      </c>
      <c r="D139" t="s">
        <v>392</v>
      </c>
      <c r="E139" t="s">
        <v>392</v>
      </c>
      <c r="F139" t="s">
        <v>386</v>
      </c>
      <c r="G139" t="s">
        <v>386</v>
      </c>
      <c r="H139" t="s">
        <v>39</v>
      </c>
      <c r="I139" t="s">
        <v>40</v>
      </c>
      <c r="J139" t="s">
        <v>41</v>
      </c>
      <c r="K139">
        <v>0</v>
      </c>
      <c r="L139">
        <v>0</v>
      </c>
      <c r="M139">
        <v>0</v>
      </c>
      <c r="N139">
        <v>564.63999999999896</v>
      </c>
      <c r="O139">
        <v>739.10872235037505</v>
      </c>
      <c r="P139" t="s">
        <v>41</v>
      </c>
      <c r="Q139">
        <v>0</v>
      </c>
      <c r="R139" t="s">
        <v>42</v>
      </c>
      <c r="S139">
        <v>0</v>
      </c>
      <c r="T139" t="s">
        <v>40</v>
      </c>
      <c r="U139" t="s">
        <v>40</v>
      </c>
      <c r="V139" t="s">
        <v>40</v>
      </c>
      <c r="W139" t="s">
        <v>40</v>
      </c>
      <c r="X139" t="s">
        <v>41</v>
      </c>
      <c r="Y139" t="s">
        <v>41</v>
      </c>
      <c r="Z139" t="s">
        <v>43</v>
      </c>
      <c r="AA139">
        <v>1930</v>
      </c>
      <c r="AB139" t="s">
        <v>393</v>
      </c>
      <c r="AC139" t="s">
        <v>370</v>
      </c>
      <c r="AD139" t="s">
        <v>370</v>
      </c>
    </row>
    <row r="140" spans="1:30" x14ac:dyDescent="0.3">
      <c r="A140">
        <v>13763</v>
      </c>
      <c r="B140">
        <v>13763</v>
      </c>
      <c r="C140">
        <v>1</v>
      </c>
      <c r="D140" t="s">
        <v>394</v>
      </c>
      <c r="E140" t="s">
        <v>394</v>
      </c>
      <c r="F140" t="s">
        <v>372</v>
      </c>
      <c r="G140" t="s">
        <v>372</v>
      </c>
      <c r="H140" t="s">
        <v>39</v>
      </c>
      <c r="I140" t="s">
        <v>49</v>
      </c>
      <c r="J140" t="s">
        <v>41</v>
      </c>
      <c r="K140">
        <v>0</v>
      </c>
      <c r="L140">
        <v>0</v>
      </c>
      <c r="M140">
        <v>0</v>
      </c>
      <c r="N140">
        <v>9136</v>
      </c>
      <c r="O140">
        <v>11821.899682065299</v>
      </c>
      <c r="P140" t="s">
        <v>41</v>
      </c>
      <c r="Q140">
        <v>0</v>
      </c>
      <c r="R140" t="s">
        <v>50</v>
      </c>
      <c r="S140">
        <v>1973</v>
      </c>
      <c r="T140" t="s">
        <v>40</v>
      </c>
      <c r="U140" t="s">
        <v>40</v>
      </c>
      <c r="V140" t="s">
        <v>40</v>
      </c>
      <c r="W140" t="s">
        <v>40</v>
      </c>
      <c r="X140" t="s">
        <v>41</v>
      </c>
      <c r="Y140" t="s">
        <v>41</v>
      </c>
      <c r="Z140" t="s">
        <v>43</v>
      </c>
      <c r="AA140">
        <v>1930</v>
      </c>
      <c r="AB140" t="s">
        <v>384</v>
      </c>
      <c r="AC140" t="s">
        <v>370</v>
      </c>
      <c r="AD140" t="s">
        <v>370</v>
      </c>
    </row>
    <row r="141" spans="1:30" x14ac:dyDescent="0.3">
      <c r="A141">
        <v>13764</v>
      </c>
      <c r="B141">
        <v>13764</v>
      </c>
      <c r="C141">
        <v>1</v>
      </c>
      <c r="D141" t="s">
        <v>395</v>
      </c>
      <c r="E141" t="s">
        <v>395</v>
      </c>
      <c r="F141" t="s">
        <v>372</v>
      </c>
      <c r="G141" t="s">
        <v>372</v>
      </c>
      <c r="H141" t="s">
        <v>39</v>
      </c>
      <c r="I141" t="s">
        <v>49</v>
      </c>
      <c r="J141" t="s">
        <v>41</v>
      </c>
      <c r="K141">
        <v>0</v>
      </c>
      <c r="L141">
        <v>0</v>
      </c>
      <c r="M141">
        <v>0</v>
      </c>
      <c r="N141">
        <v>5932</v>
      </c>
      <c r="O141">
        <v>4717.1596994124102</v>
      </c>
      <c r="P141" t="s">
        <v>41</v>
      </c>
      <c r="Q141">
        <v>0</v>
      </c>
      <c r="R141" t="s">
        <v>50</v>
      </c>
      <c r="S141">
        <v>1973</v>
      </c>
      <c r="T141" t="s">
        <v>373</v>
      </c>
      <c r="U141" t="s">
        <v>40</v>
      </c>
      <c r="V141" t="s">
        <v>40</v>
      </c>
      <c r="W141" t="s">
        <v>40</v>
      </c>
      <c r="X141" t="s">
        <v>41</v>
      </c>
      <c r="Y141" t="s">
        <v>41</v>
      </c>
      <c r="Z141" t="s">
        <v>43</v>
      </c>
      <c r="AA141">
        <v>1930</v>
      </c>
      <c r="AB141" t="s">
        <v>40</v>
      </c>
      <c r="AC141" t="s">
        <v>370</v>
      </c>
      <c r="AD141" t="s">
        <v>370</v>
      </c>
    </row>
    <row r="142" spans="1:30" x14ac:dyDescent="0.3">
      <c r="A142">
        <v>29078</v>
      </c>
      <c r="B142">
        <v>29078</v>
      </c>
      <c r="C142">
        <v>1</v>
      </c>
      <c r="D142" t="s">
        <v>396</v>
      </c>
      <c r="E142" t="s">
        <v>396</v>
      </c>
      <c r="F142" t="s">
        <v>386</v>
      </c>
      <c r="G142" t="s">
        <v>386</v>
      </c>
      <c r="H142" t="s">
        <v>39</v>
      </c>
      <c r="I142" t="s">
        <v>40</v>
      </c>
      <c r="J142" t="s">
        <v>41</v>
      </c>
      <c r="K142">
        <v>0</v>
      </c>
      <c r="L142">
        <v>0</v>
      </c>
      <c r="M142">
        <v>0</v>
      </c>
      <c r="N142">
        <v>536.19000000000005</v>
      </c>
      <c r="O142">
        <v>539.84485742766503</v>
      </c>
      <c r="P142" t="s">
        <v>41</v>
      </c>
      <c r="Q142">
        <v>0</v>
      </c>
      <c r="R142" t="s">
        <v>42</v>
      </c>
      <c r="S142">
        <v>0</v>
      </c>
      <c r="T142" t="s">
        <v>40</v>
      </c>
      <c r="U142" t="s">
        <v>40</v>
      </c>
      <c r="V142" t="s">
        <v>40</v>
      </c>
      <c r="W142" t="s">
        <v>40</v>
      </c>
      <c r="X142" t="s">
        <v>41</v>
      </c>
      <c r="Y142" t="s">
        <v>41</v>
      </c>
      <c r="Z142" t="s">
        <v>43</v>
      </c>
      <c r="AA142">
        <v>1930</v>
      </c>
      <c r="AB142" t="s">
        <v>40</v>
      </c>
      <c r="AC142" t="s">
        <v>370</v>
      </c>
      <c r="AD142" t="s">
        <v>370</v>
      </c>
    </row>
    <row r="143" spans="1:30" x14ac:dyDescent="0.3">
      <c r="A143">
        <v>29082</v>
      </c>
      <c r="B143">
        <v>29082</v>
      </c>
      <c r="C143">
        <v>1</v>
      </c>
      <c r="D143" t="s">
        <v>397</v>
      </c>
      <c r="E143" t="s">
        <v>397</v>
      </c>
      <c r="F143" t="s">
        <v>386</v>
      </c>
      <c r="G143" t="s">
        <v>386</v>
      </c>
      <c r="H143" t="s">
        <v>39</v>
      </c>
      <c r="I143" t="s">
        <v>40</v>
      </c>
      <c r="J143" t="s">
        <v>41</v>
      </c>
      <c r="K143">
        <v>0</v>
      </c>
      <c r="L143">
        <v>0</v>
      </c>
      <c r="M143">
        <v>0</v>
      </c>
      <c r="N143">
        <v>213.4</v>
      </c>
      <c r="O143">
        <v>225.74585642241101</v>
      </c>
      <c r="P143" t="s">
        <v>41</v>
      </c>
      <c r="Q143">
        <v>0</v>
      </c>
      <c r="R143" t="s">
        <v>42</v>
      </c>
      <c r="S143">
        <v>0</v>
      </c>
      <c r="T143" t="s">
        <v>40</v>
      </c>
      <c r="U143" t="s">
        <v>40</v>
      </c>
      <c r="V143" t="s">
        <v>40</v>
      </c>
      <c r="W143" t="s">
        <v>40</v>
      </c>
      <c r="X143" t="s">
        <v>41</v>
      </c>
      <c r="Y143" t="s">
        <v>41</v>
      </c>
      <c r="Z143" t="s">
        <v>43</v>
      </c>
      <c r="AA143">
        <v>1930</v>
      </c>
      <c r="AB143" t="s">
        <v>369</v>
      </c>
      <c r="AC143" t="s">
        <v>370</v>
      </c>
      <c r="AD143" t="s">
        <v>370</v>
      </c>
    </row>
    <row r="144" spans="1:30" x14ac:dyDescent="0.3">
      <c r="A144">
        <v>13762</v>
      </c>
      <c r="B144">
        <v>13762</v>
      </c>
      <c r="C144">
        <v>1</v>
      </c>
      <c r="D144" t="s">
        <v>398</v>
      </c>
      <c r="E144" t="s">
        <v>398</v>
      </c>
      <c r="F144" t="s">
        <v>372</v>
      </c>
      <c r="G144" t="s">
        <v>372</v>
      </c>
      <c r="H144" t="s">
        <v>39</v>
      </c>
      <c r="I144" t="s">
        <v>49</v>
      </c>
      <c r="J144" t="s">
        <v>41</v>
      </c>
      <c r="K144">
        <v>0</v>
      </c>
      <c r="L144">
        <v>0</v>
      </c>
      <c r="M144">
        <v>0</v>
      </c>
      <c r="N144">
        <v>23788</v>
      </c>
      <c r="O144">
        <v>33009.738863865903</v>
      </c>
      <c r="P144" t="s">
        <v>41</v>
      </c>
      <c r="Q144">
        <v>0</v>
      </c>
      <c r="R144" t="s">
        <v>50</v>
      </c>
      <c r="S144">
        <v>1973</v>
      </c>
      <c r="T144" t="s">
        <v>373</v>
      </c>
      <c r="U144" t="s">
        <v>40</v>
      </c>
      <c r="V144" t="s">
        <v>40</v>
      </c>
      <c r="W144" t="s">
        <v>40</v>
      </c>
      <c r="X144" t="s">
        <v>41</v>
      </c>
      <c r="Y144" t="s">
        <v>41</v>
      </c>
      <c r="Z144" t="s">
        <v>43</v>
      </c>
      <c r="AA144">
        <v>1930</v>
      </c>
      <c r="AB144" t="s">
        <v>40</v>
      </c>
      <c r="AC144" t="s">
        <v>370</v>
      </c>
      <c r="AD144" t="s">
        <v>370</v>
      </c>
    </row>
    <row r="145" spans="1:30" x14ac:dyDescent="0.3">
      <c r="A145">
        <v>652</v>
      </c>
      <c r="B145">
        <v>652</v>
      </c>
      <c r="C145">
        <v>1</v>
      </c>
      <c r="D145" t="s">
        <v>399</v>
      </c>
      <c r="E145" t="s">
        <v>399</v>
      </c>
      <c r="F145" t="s">
        <v>123</v>
      </c>
      <c r="G145" t="s">
        <v>123</v>
      </c>
      <c r="H145" t="s">
        <v>39</v>
      </c>
      <c r="I145" t="s">
        <v>124</v>
      </c>
      <c r="J145" t="s">
        <v>41</v>
      </c>
      <c r="K145">
        <v>0</v>
      </c>
      <c r="L145">
        <v>0</v>
      </c>
      <c r="M145">
        <v>0</v>
      </c>
      <c r="N145">
        <v>590</v>
      </c>
      <c r="O145">
        <v>582.06131410473995</v>
      </c>
      <c r="P145" t="s">
        <v>41</v>
      </c>
      <c r="Q145">
        <v>0</v>
      </c>
      <c r="R145" t="s">
        <v>50</v>
      </c>
      <c r="S145">
        <v>1969</v>
      </c>
      <c r="T145" t="s">
        <v>66</v>
      </c>
      <c r="U145" t="s">
        <v>40</v>
      </c>
      <c r="V145" t="s">
        <v>376</v>
      </c>
      <c r="W145" t="s">
        <v>40</v>
      </c>
      <c r="X145" t="s">
        <v>41</v>
      </c>
      <c r="Y145" t="s">
        <v>41</v>
      </c>
      <c r="Z145" t="s">
        <v>43</v>
      </c>
      <c r="AA145">
        <v>1930</v>
      </c>
      <c r="AB145" t="s">
        <v>369</v>
      </c>
      <c r="AC145" t="s">
        <v>370</v>
      </c>
      <c r="AD145" t="s">
        <v>370</v>
      </c>
    </row>
    <row r="146" spans="1:30" x14ac:dyDescent="0.3">
      <c r="A146">
        <v>2276</v>
      </c>
      <c r="B146">
        <v>2276</v>
      </c>
      <c r="C146">
        <v>1</v>
      </c>
      <c r="D146" t="s">
        <v>400</v>
      </c>
      <c r="E146" t="s">
        <v>400</v>
      </c>
      <c r="F146" t="s">
        <v>123</v>
      </c>
      <c r="G146" t="s">
        <v>123</v>
      </c>
      <c r="H146" t="s">
        <v>39</v>
      </c>
      <c r="I146" t="s">
        <v>124</v>
      </c>
      <c r="J146" t="s">
        <v>41</v>
      </c>
      <c r="K146">
        <v>0</v>
      </c>
      <c r="L146">
        <v>0</v>
      </c>
      <c r="M146">
        <v>0</v>
      </c>
      <c r="N146">
        <v>4731</v>
      </c>
      <c r="O146">
        <v>3046.2123666440798</v>
      </c>
      <c r="P146" t="s">
        <v>41</v>
      </c>
      <c r="Q146">
        <v>0</v>
      </c>
      <c r="R146" t="s">
        <v>50</v>
      </c>
      <c r="S146">
        <v>1969</v>
      </c>
      <c r="T146" t="s">
        <v>66</v>
      </c>
      <c r="U146" t="s">
        <v>40</v>
      </c>
      <c r="V146" t="s">
        <v>376</v>
      </c>
      <c r="W146" t="s">
        <v>40</v>
      </c>
      <c r="X146" t="s">
        <v>41</v>
      </c>
      <c r="Y146" t="s">
        <v>41</v>
      </c>
      <c r="Z146" t="s">
        <v>43</v>
      </c>
      <c r="AA146">
        <v>1930</v>
      </c>
      <c r="AB146" t="s">
        <v>384</v>
      </c>
      <c r="AC146" t="s">
        <v>370</v>
      </c>
      <c r="AD146" t="s">
        <v>370</v>
      </c>
    </row>
    <row r="147" spans="1:30" x14ac:dyDescent="0.3">
      <c r="A147">
        <v>555721636</v>
      </c>
      <c r="B147">
        <v>555721636</v>
      </c>
      <c r="C147">
        <v>1</v>
      </c>
      <c r="D147" t="s">
        <v>401</v>
      </c>
      <c r="E147" t="s">
        <v>401</v>
      </c>
      <c r="F147" t="s">
        <v>372</v>
      </c>
      <c r="G147" t="s">
        <v>372</v>
      </c>
      <c r="H147" t="s">
        <v>39</v>
      </c>
      <c r="I147" t="s">
        <v>49</v>
      </c>
      <c r="J147" t="s">
        <v>41</v>
      </c>
      <c r="K147">
        <v>0</v>
      </c>
      <c r="L147">
        <v>0</v>
      </c>
      <c r="M147">
        <v>0</v>
      </c>
      <c r="N147">
        <v>0</v>
      </c>
      <c r="O147">
        <v>111.238600778996</v>
      </c>
      <c r="P147" t="s">
        <v>41</v>
      </c>
      <c r="Q147">
        <v>0</v>
      </c>
      <c r="R147" t="s">
        <v>50</v>
      </c>
      <c r="S147">
        <v>0</v>
      </c>
      <c r="T147" t="s">
        <v>40</v>
      </c>
      <c r="U147" t="s">
        <v>51</v>
      </c>
      <c r="V147" t="s">
        <v>40</v>
      </c>
      <c r="W147" t="s">
        <v>40</v>
      </c>
      <c r="X147" t="s">
        <v>41</v>
      </c>
      <c r="Y147" t="s">
        <v>41</v>
      </c>
      <c r="Z147" t="s">
        <v>43</v>
      </c>
      <c r="AA147">
        <v>1930</v>
      </c>
      <c r="AB147" t="s">
        <v>40</v>
      </c>
      <c r="AC147" t="s">
        <v>370</v>
      </c>
      <c r="AD147" t="s">
        <v>370</v>
      </c>
    </row>
    <row r="148" spans="1:30" x14ac:dyDescent="0.3">
      <c r="A148">
        <v>555721629</v>
      </c>
      <c r="B148">
        <v>555721629</v>
      </c>
      <c r="C148">
        <v>1</v>
      </c>
      <c r="D148" t="s">
        <v>402</v>
      </c>
      <c r="E148" t="s">
        <v>402</v>
      </c>
      <c r="F148" t="s">
        <v>378</v>
      </c>
      <c r="G148" t="s">
        <v>378</v>
      </c>
      <c r="H148" t="s">
        <v>39</v>
      </c>
      <c r="I148" t="s">
        <v>49</v>
      </c>
      <c r="J148" t="s">
        <v>41</v>
      </c>
      <c r="K148">
        <v>0</v>
      </c>
      <c r="L148">
        <v>0</v>
      </c>
      <c r="M148">
        <v>0</v>
      </c>
      <c r="N148">
        <v>0</v>
      </c>
      <c r="O148">
        <v>48.712325484843397</v>
      </c>
      <c r="P148" t="s">
        <v>41</v>
      </c>
      <c r="Q148">
        <v>0</v>
      </c>
      <c r="R148" t="s">
        <v>50</v>
      </c>
      <c r="S148">
        <v>2012</v>
      </c>
      <c r="T148" t="s">
        <v>373</v>
      </c>
      <c r="U148" t="s">
        <v>51</v>
      </c>
      <c r="V148" t="s">
        <v>368</v>
      </c>
      <c r="W148" t="s">
        <v>40</v>
      </c>
      <c r="X148" t="s">
        <v>41</v>
      </c>
      <c r="Y148" t="s">
        <v>41</v>
      </c>
      <c r="Z148" t="s">
        <v>43</v>
      </c>
      <c r="AA148">
        <v>1930</v>
      </c>
      <c r="AB148" t="s">
        <v>40</v>
      </c>
      <c r="AC148" t="s">
        <v>370</v>
      </c>
      <c r="AD148" t="s">
        <v>370</v>
      </c>
    </row>
    <row r="149" spans="1:30" x14ac:dyDescent="0.3">
      <c r="A149">
        <v>555721608</v>
      </c>
      <c r="B149">
        <v>555721608</v>
      </c>
      <c r="C149">
        <v>1</v>
      </c>
      <c r="D149" t="s">
        <v>403</v>
      </c>
      <c r="E149" t="s">
        <v>403</v>
      </c>
      <c r="F149" t="s">
        <v>372</v>
      </c>
      <c r="G149" t="s">
        <v>372</v>
      </c>
      <c r="H149" t="s">
        <v>39</v>
      </c>
      <c r="I149" t="s">
        <v>49</v>
      </c>
      <c r="J149" t="s">
        <v>41</v>
      </c>
      <c r="K149">
        <v>0</v>
      </c>
      <c r="L149">
        <v>0</v>
      </c>
      <c r="M149">
        <v>0</v>
      </c>
      <c r="N149">
        <v>0</v>
      </c>
      <c r="O149">
        <v>825.19425980771905</v>
      </c>
      <c r="P149" t="s">
        <v>41</v>
      </c>
      <c r="Q149">
        <v>0</v>
      </c>
      <c r="R149" t="s">
        <v>50</v>
      </c>
      <c r="S149">
        <v>2014</v>
      </c>
      <c r="T149" t="s">
        <v>373</v>
      </c>
      <c r="U149" t="s">
        <v>51</v>
      </c>
      <c r="V149" t="s">
        <v>391</v>
      </c>
      <c r="W149" t="s">
        <v>40</v>
      </c>
      <c r="X149" t="s">
        <v>41</v>
      </c>
      <c r="Y149" t="s">
        <v>41</v>
      </c>
      <c r="Z149" t="s">
        <v>43</v>
      </c>
      <c r="AA149">
        <v>1930</v>
      </c>
      <c r="AB149" t="s">
        <v>40</v>
      </c>
      <c r="AC149" t="s">
        <v>370</v>
      </c>
      <c r="AD149" t="s">
        <v>370</v>
      </c>
    </row>
    <row r="150" spans="1:30" x14ac:dyDescent="0.3">
      <c r="A150">
        <v>555570091</v>
      </c>
      <c r="B150">
        <v>555570091</v>
      </c>
      <c r="C150">
        <v>0</v>
      </c>
      <c r="D150" t="s">
        <v>404</v>
      </c>
      <c r="E150" t="s">
        <v>404</v>
      </c>
      <c r="F150" t="s">
        <v>405</v>
      </c>
      <c r="G150" t="s">
        <v>406</v>
      </c>
      <c r="H150" t="s">
        <v>39</v>
      </c>
      <c r="I150" t="s">
        <v>41</v>
      </c>
      <c r="J150" t="s">
        <v>41</v>
      </c>
      <c r="K150">
        <v>0</v>
      </c>
      <c r="L150">
        <v>0</v>
      </c>
      <c r="M150">
        <v>0</v>
      </c>
      <c r="N150">
        <v>0</v>
      </c>
      <c r="O150">
        <v>190.97588816063799</v>
      </c>
      <c r="P150" t="s">
        <v>41</v>
      </c>
      <c r="Q150">
        <v>0</v>
      </c>
      <c r="R150" t="s">
        <v>407</v>
      </c>
      <c r="S150">
        <v>2021</v>
      </c>
      <c r="T150" t="s">
        <v>282</v>
      </c>
      <c r="U150" t="s">
        <v>40</v>
      </c>
      <c r="V150" t="s">
        <v>408</v>
      </c>
      <c r="W150" t="s">
        <v>409</v>
      </c>
      <c r="X150" t="s">
        <v>410</v>
      </c>
      <c r="Y150" t="s">
        <v>40</v>
      </c>
      <c r="Z150" t="s">
        <v>43</v>
      </c>
      <c r="AA150">
        <v>1779</v>
      </c>
      <c r="AB150" t="s">
        <v>411</v>
      </c>
      <c r="AC150" t="s">
        <v>412</v>
      </c>
      <c r="AD150" t="s">
        <v>412</v>
      </c>
    </row>
    <row r="151" spans="1:30" x14ac:dyDescent="0.3">
      <c r="A151">
        <v>555721566</v>
      </c>
      <c r="B151">
        <v>555721566</v>
      </c>
      <c r="C151">
        <v>0</v>
      </c>
      <c r="D151" t="s">
        <v>413</v>
      </c>
      <c r="E151" t="s">
        <v>413</v>
      </c>
      <c r="F151" t="s">
        <v>405</v>
      </c>
      <c r="G151" t="s">
        <v>406</v>
      </c>
      <c r="H151" t="s">
        <v>39</v>
      </c>
      <c r="I151" t="s">
        <v>41</v>
      </c>
      <c r="J151" t="s">
        <v>41</v>
      </c>
      <c r="K151">
        <v>0</v>
      </c>
      <c r="L151">
        <v>0</v>
      </c>
      <c r="M151">
        <v>0</v>
      </c>
      <c r="N151">
        <v>0</v>
      </c>
      <c r="O151">
        <v>482.19247209005403</v>
      </c>
      <c r="P151" t="s">
        <v>41</v>
      </c>
      <c r="Q151">
        <v>0</v>
      </c>
      <c r="R151" t="s">
        <v>407</v>
      </c>
      <c r="S151">
        <v>2021</v>
      </c>
      <c r="T151" t="s">
        <v>282</v>
      </c>
      <c r="U151" t="s">
        <v>40</v>
      </c>
      <c r="V151" t="s">
        <v>408</v>
      </c>
      <c r="W151" t="s">
        <v>409</v>
      </c>
      <c r="X151" t="s">
        <v>410</v>
      </c>
      <c r="Y151" t="s">
        <v>40</v>
      </c>
      <c r="Z151" t="s">
        <v>43</v>
      </c>
      <c r="AA151">
        <v>1779</v>
      </c>
      <c r="AB151" t="s">
        <v>411</v>
      </c>
      <c r="AC151" t="s">
        <v>412</v>
      </c>
      <c r="AD151" t="s">
        <v>412</v>
      </c>
    </row>
    <row r="152" spans="1:30" x14ac:dyDescent="0.3">
      <c r="A152">
        <v>555721500</v>
      </c>
      <c r="B152">
        <v>555721500</v>
      </c>
      <c r="C152">
        <v>0</v>
      </c>
      <c r="D152" t="s">
        <v>414</v>
      </c>
      <c r="E152" t="s">
        <v>414</v>
      </c>
      <c r="F152" t="s">
        <v>405</v>
      </c>
      <c r="G152" t="s">
        <v>406</v>
      </c>
      <c r="H152" t="s">
        <v>39</v>
      </c>
      <c r="I152" t="s">
        <v>41</v>
      </c>
      <c r="J152" t="s">
        <v>41</v>
      </c>
      <c r="K152">
        <v>0</v>
      </c>
      <c r="L152">
        <v>0</v>
      </c>
      <c r="M152">
        <v>0</v>
      </c>
      <c r="N152">
        <v>0</v>
      </c>
      <c r="O152">
        <v>67.342194481690498</v>
      </c>
      <c r="P152" t="s">
        <v>41</v>
      </c>
      <c r="Q152">
        <v>0</v>
      </c>
      <c r="R152" t="s">
        <v>407</v>
      </c>
      <c r="S152">
        <v>2021</v>
      </c>
      <c r="T152" t="s">
        <v>282</v>
      </c>
      <c r="U152" t="s">
        <v>40</v>
      </c>
      <c r="V152" t="s">
        <v>408</v>
      </c>
      <c r="W152" t="s">
        <v>409</v>
      </c>
      <c r="X152" t="s">
        <v>410</v>
      </c>
      <c r="Y152" t="s">
        <v>40</v>
      </c>
      <c r="Z152" t="s">
        <v>43</v>
      </c>
      <c r="AA152">
        <v>1779</v>
      </c>
      <c r="AB152" t="s">
        <v>415</v>
      </c>
      <c r="AC152" t="s">
        <v>412</v>
      </c>
      <c r="AD152" t="s">
        <v>412</v>
      </c>
    </row>
    <row r="153" spans="1:30" x14ac:dyDescent="0.3">
      <c r="A153">
        <v>555781136</v>
      </c>
      <c r="B153">
        <v>555781136</v>
      </c>
      <c r="C153">
        <v>0</v>
      </c>
      <c r="D153" t="s">
        <v>416</v>
      </c>
      <c r="E153" t="s">
        <v>416</v>
      </c>
      <c r="F153" t="s">
        <v>405</v>
      </c>
      <c r="G153" t="s">
        <v>406</v>
      </c>
      <c r="H153" t="s">
        <v>39</v>
      </c>
      <c r="I153" t="s">
        <v>41</v>
      </c>
      <c r="J153" t="s">
        <v>41</v>
      </c>
      <c r="K153">
        <v>0</v>
      </c>
      <c r="L153">
        <v>0</v>
      </c>
      <c r="M153">
        <v>1.4256741799080599</v>
      </c>
      <c r="N153">
        <v>0</v>
      </c>
      <c r="O153">
        <v>308.65433710773198</v>
      </c>
      <c r="P153" t="s">
        <v>41</v>
      </c>
      <c r="Q153">
        <v>0</v>
      </c>
      <c r="R153" t="s">
        <v>407</v>
      </c>
      <c r="S153">
        <v>2021</v>
      </c>
      <c r="T153" t="s">
        <v>282</v>
      </c>
      <c r="U153" t="s">
        <v>40</v>
      </c>
      <c r="V153" t="s">
        <v>408</v>
      </c>
      <c r="W153" t="s">
        <v>409</v>
      </c>
      <c r="X153" t="s">
        <v>410</v>
      </c>
      <c r="Y153" t="s">
        <v>40</v>
      </c>
      <c r="Z153" t="s">
        <v>43</v>
      </c>
      <c r="AA153">
        <v>1779</v>
      </c>
      <c r="AB153" t="s">
        <v>417</v>
      </c>
      <c r="AC153" t="s">
        <v>412</v>
      </c>
      <c r="AD153" t="s">
        <v>412</v>
      </c>
    </row>
    <row r="154" spans="1:30" x14ac:dyDescent="0.3">
      <c r="A154">
        <v>555721577</v>
      </c>
      <c r="B154">
        <v>555721577</v>
      </c>
      <c r="C154">
        <v>0</v>
      </c>
      <c r="D154" t="s">
        <v>418</v>
      </c>
      <c r="E154" t="s">
        <v>418</v>
      </c>
      <c r="F154" t="s">
        <v>405</v>
      </c>
      <c r="G154" t="s">
        <v>406</v>
      </c>
      <c r="H154" t="s">
        <v>39</v>
      </c>
      <c r="I154" t="s">
        <v>41</v>
      </c>
      <c r="J154" t="s">
        <v>41</v>
      </c>
      <c r="K154">
        <v>0</v>
      </c>
      <c r="L154">
        <v>0</v>
      </c>
      <c r="M154">
        <v>0</v>
      </c>
      <c r="N154">
        <v>0</v>
      </c>
      <c r="O154">
        <v>116.078805560413</v>
      </c>
      <c r="P154" t="s">
        <v>41</v>
      </c>
      <c r="Q154">
        <v>0</v>
      </c>
      <c r="R154" t="s">
        <v>407</v>
      </c>
      <c r="S154">
        <v>2021</v>
      </c>
      <c r="T154" t="s">
        <v>282</v>
      </c>
      <c r="U154" t="s">
        <v>40</v>
      </c>
      <c r="V154" t="s">
        <v>408</v>
      </c>
      <c r="W154" t="s">
        <v>409</v>
      </c>
      <c r="X154" t="s">
        <v>410</v>
      </c>
      <c r="Y154" t="s">
        <v>40</v>
      </c>
      <c r="Z154" t="s">
        <v>43</v>
      </c>
      <c r="AA154">
        <v>1779</v>
      </c>
      <c r="AB154" t="s">
        <v>415</v>
      </c>
      <c r="AC154" t="s">
        <v>412</v>
      </c>
      <c r="AD154" t="s">
        <v>412</v>
      </c>
    </row>
    <row r="155" spans="1:30" x14ac:dyDescent="0.3">
      <c r="A155">
        <v>555721504</v>
      </c>
      <c r="B155">
        <v>555721504</v>
      </c>
      <c r="C155">
        <v>0</v>
      </c>
      <c r="D155" t="s">
        <v>419</v>
      </c>
      <c r="E155" t="s">
        <v>419</v>
      </c>
      <c r="F155" t="s">
        <v>405</v>
      </c>
      <c r="G155" t="s">
        <v>406</v>
      </c>
      <c r="H155" t="s">
        <v>39</v>
      </c>
      <c r="I155" t="s">
        <v>41</v>
      </c>
      <c r="J155" t="s">
        <v>41</v>
      </c>
      <c r="K155">
        <v>0</v>
      </c>
      <c r="L155">
        <v>0</v>
      </c>
      <c r="M155">
        <v>0</v>
      </c>
      <c r="N155">
        <v>0</v>
      </c>
      <c r="O155">
        <v>320.62908427422002</v>
      </c>
      <c r="P155" t="s">
        <v>41</v>
      </c>
      <c r="Q155">
        <v>0</v>
      </c>
      <c r="R155" t="s">
        <v>407</v>
      </c>
      <c r="S155">
        <v>2021</v>
      </c>
      <c r="T155" t="s">
        <v>282</v>
      </c>
      <c r="U155" t="s">
        <v>40</v>
      </c>
      <c r="V155" t="s">
        <v>408</v>
      </c>
      <c r="W155" t="s">
        <v>409</v>
      </c>
      <c r="X155" t="s">
        <v>410</v>
      </c>
      <c r="Y155" t="s">
        <v>40</v>
      </c>
      <c r="Z155" t="s">
        <v>43</v>
      </c>
      <c r="AA155">
        <v>1779</v>
      </c>
      <c r="AB155" t="s">
        <v>411</v>
      </c>
      <c r="AC155" t="s">
        <v>412</v>
      </c>
      <c r="AD155" t="s">
        <v>412</v>
      </c>
    </row>
    <row r="156" spans="1:30" x14ac:dyDescent="0.3">
      <c r="A156">
        <v>555721592</v>
      </c>
      <c r="B156">
        <v>555721592</v>
      </c>
      <c r="C156">
        <v>0</v>
      </c>
      <c r="D156" t="s">
        <v>420</v>
      </c>
      <c r="E156" t="s">
        <v>420</v>
      </c>
      <c r="F156" t="s">
        <v>405</v>
      </c>
      <c r="G156" t="s">
        <v>406</v>
      </c>
      <c r="H156" t="s">
        <v>39</v>
      </c>
      <c r="I156" t="s">
        <v>41</v>
      </c>
      <c r="J156" t="s">
        <v>41</v>
      </c>
      <c r="K156">
        <v>0</v>
      </c>
      <c r="L156">
        <v>0</v>
      </c>
      <c r="M156">
        <v>0.61710990288685297</v>
      </c>
      <c r="N156">
        <v>0</v>
      </c>
      <c r="O156">
        <v>180.14598153146599</v>
      </c>
      <c r="P156" t="s">
        <v>41</v>
      </c>
      <c r="Q156">
        <v>0</v>
      </c>
      <c r="R156" t="s">
        <v>407</v>
      </c>
      <c r="S156">
        <v>2021</v>
      </c>
      <c r="T156" t="s">
        <v>282</v>
      </c>
      <c r="U156" t="s">
        <v>40</v>
      </c>
      <c r="V156" t="s">
        <v>408</v>
      </c>
      <c r="W156" t="s">
        <v>409</v>
      </c>
      <c r="X156" t="s">
        <v>410</v>
      </c>
      <c r="Y156" t="s">
        <v>40</v>
      </c>
      <c r="Z156" t="s">
        <v>43</v>
      </c>
      <c r="AA156">
        <v>1779</v>
      </c>
      <c r="AB156" t="s">
        <v>421</v>
      </c>
      <c r="AC156" t="s">
        <v>412</v>
      </c>
      <c r="AD156" t="s">
        <v>412</v>
      </c>
    </row>
    <row r="157" spans="1:30" x14ac:dyDescent="0.3">
      <c r="A157">
        <v>555569962</v>
      </c>
      <c r="B157">
        <v>555569962</v>
      </c>
      <c r="C157">
        <v>0</v>
      </c>
      <c r="D157" t="s">
        <v>422</v>
      </c>
      <c r="E157" t="s">
        <v>422</v>
      </c>
      <c r="F157" t="s">
        <v>405</v>
      </c>
      <c r="G157" t="s">
        <v>406</v>
      </c>
      <c r="H157" t="s">
        <v>39</v>
      </c>
      <c r="I157" t="s">
        <v>41</v>
      </c>
      <c r="J157" t="s">
        <v>41</v>
      </c>
      <c r="K157">
        <v>0</v>
      </c>
      <c r="L157">
        <v>0</v>
      </c>
      <c r="M157">
        <v>1.2367890707911799</v>
      </c>
      <c r="N157">
        <v>0</v>
      </c>
      <c r="O157">
        <v>78.3719080367065</v>
      </c>
      <c r="P157" t="s">
        <v>41</v>
      </c>
      <c r="Q157">
        <v>0</v>
      </c>
      <c r="R157" t="s">
        <v>407</v>
      </c>
      <c r="S157">
        <v>2021</v>
      </c>
      <c r="T157" t="s">
        <v>282</v>
      </c>
      <c r="U157" t="s">
        <v>40</v>
      </c>
      <c r="V157" t="s">
        <v>408</v>
      </c>
      <c r="W157" t="s">
        <v>409</v>
      </c>
      <c r="X157" t="s">
        <v>410</v>
      </c>
      <c r="Y157" t="s">
        <v>40</v>
      </c>
      <c r="Z157" t="s">
        <v>43</v>
      </c>
      <c r="AA157">
        <v>1779</v>
      </c>
      <c r="AB157" t="s">
        <v>421</v>
      </c>
      <c r="AC157" t="s">
        <v>412</v>
      </c>
      <c r="AD157" t="s">
        <v>412</v>
      </c>
    </row>
    <row r="158" spans="1:30" x14ac:dyDescent="0.3">
      <c r="A158">
        <v>555544187</v>
      </c>
      <c r="B158">
        <v>555544187</v>
      </c>
      <c r="C158">
        <v>0</v>
      </c>
      <c r="D158" t="s">
        <v>423</v>
      </c>
      <c r="E158" t="s">
        <v>423</v>
      </c>
      <c r="F158" t="s">
        <v>424</v>
      </c>
      <c r="G158" t="s">
        <v>425</v>
      </c>
      <c r="H158" t="s">
        <v>39</v>
      </c>
      <c r="I158" t="s">
        <v>41</v>
      </c>
      <c r="J158" t="s">
        <v>41</v>
      </c>
      <c r="K158">
        <v>0</v>
      </c>
      <c r="L158">
        <v>0</v>
      </c>
      <c r="M158">
        <v>0.46047184725574197</v>
      </c>
      <c r="N158">
        <v>0</v>
      </c>
      <c r="O158">
        <v>10.596244778347</v>
      </c>
      <c r="P158" t="s">
        <v>41</v>
      </c>
      <c r="Q158">
        <v>0</v>
      </c>
      <c r="R158" t="s">
        <v>407</v>
      </c>
      <c r="S158">
        <v>1994</v>
      </c>
      <c r="T158" t="s">
        <v>66</v>
      </c>
      <c r="U158" t="s">
        <v>40</v>
      </c>
      <c r="V158" t="s">
        <v>408</v>
      </c>
      <c r="W158" t="s">
        <v>185</v>
      </c>
      <c r="X158" t="s">
        <v>250</v>
      </c>
      <c r="Y158" t="s">
        <v>426</v>
      </c>
      <c r="Z158" t="s">
        <v>43</v>
      </c>
      <c r="AA158">
        <v>1779</v>
      </c>
      <c r="AB158" t="s">
        <v>421</v>
      </c>
      <c r="AC158" t="s">
        <v>412</v>
      </c>
      <c r="AD158" t="s">
        <v>412</v>
      </c>
    </row>
    <row r="159" spans="1:30" x14ac:dyDescent="0.3">
      <c r="A159">
        <v>15105</v>
      </c>
      <c r="B159">
        <v>15105</v>
      </c>
      <c r="C159">
        <v>0</v>
      </c>
      <c r="D159" t="s">
        <v>427</v>
      </c>
      <c r="E159" t="s">
        <v>428</v>
      </c>
      <c r="F159" t="s">
        <v>424</v>
      </c>
      <c r="G159" t="s">
        <v>425</v>
      </c>
      <c r="H159" t="s">
        <v>39</v>
      </c>
      <c r="I159" t="s">
        <v>41</v>
      </c>
      <c r="J159" t="s">
        <v>41</v>
      </c>
      <c r="K159">
        <v>0</v>
      </c>
      <c r="L159">
        <v>0</v>
      </c>
      <c r="M159">
        <v>0</v>
      </c>
      <c r="N159">
        <v>0</v>
      </c>
      <c r="O159">
        <v>357.30947096063102</v>
      </c>
      <c r="P159" t="s">
        <v>41</v>
      </c>
      <c r="Q159">
        <v>0</v>
      </c>
      <c r="R159" t="s">
        <v>407</v>
      </c>
      <c r="S159">
        <v>1994</v>
      </c>
      <c r="T159" t="s">
        <v>66</v>
      </c>
      <c r="U159" t="s">
        <v>40</v>
      </c>
      <c r="V159" t="s">
        <v>408</v>
      </c>
      <c r="W159" t="s">
        <v>185</v>
      </c>
      <c r="X159" t="s">
        <v>250</v>
      </c>
      <c r="Y159" t="s">
        <v>426</v>
      </c>
      <c r="Z159" t="s">
        <v>43</v>
      </c>
      <c r="AA159">
        <v>1779</v>
      </c>
      <c r="AB159" t="s">
        <v>429</v>
      </c>
      <c r="AC159" t="s">
        <v>412</v>
      </c>
      <c r="AD159" t="s">
        <v>412</v>
      </c>
    </row>
    <row r="160" spans="1:30" x14ac:dyDescent="0.3">
      <c r="A160">
        <v>555721562</v>
      </c>
      <c r="B160">
        <v>555721562</v>
      </c>
      <c r="C160">
        <v>0</v>
      </c>
      <c r="D160" t="s">
        <v>430</v>
      </c>
      <c r="E160" t="s">
        <v>430</v>
      </c>
      <c r="F160" t="s">
        <v>405</v>
      </c>
      <c r="G160" t="s">
        <v>406</v>
      </c>
      <c r="H160" t="s">
        <v>39</v>
      </c>
      <c r="I160" t="s">
        <v>41</v>
      </c>
      <c r="J160" t="s">
        <v>41</v>
      </c>
      <c r="K160">
        <v>0</v>
      </c>
      <c r="L160">
        <v>0</v>
      </c>
      <c r="M160">
        <v>0.33901203080338799</v>
      </c>
      <c r="N160">
        <v>0</v>
      </c>
      <c r="O160">
        <v>273.54126796795902</v>
      </c>
      <c r="P160" t="s">
        <v>41</v>
      </c>
      <c r="Q160">
        <v>0</v>
      </c>
      <c r="R160" t="s">
        <v>407</v>
      </c>
      <c r="S160">
        <v>2021</v>
      </c>
      <c r="T160" t="s">
        <v>282</v>
      </c>
      <c r="U160" t="s">
        <v>40</v>
      </c>
      <c r="V160" t="s">
        <v>408</v>
      </c>
      <c r="W160" t="s">
        <v>409</v>
      </c>
      <c r="X160" t="s">
        <v>410</v>
      </c>
      <c r="Y160" t="s">
        <v>40</v>
      </c>
      <c r="Z160" t="s">
        <v>43</v>
      </c>
      <c r="AA160">
        <v>1779</v>
      </c>
      <c r="AB160" t="s">
        <v>417</v>
      </c>
      <c r="AC160" t="s">
        <v>412</v>
      </c>
      <c r="AD160" t="s">
        <v>412</v>
      </c>
    </row>
    <row r="161" spans="1:30" x14ac:dyDescent="0.3">
      <c r="A161">
        <v>555721570</v>
      </c>
      <c r="B161">
        <v>555721570</v>
      </c>
      <c r="C161">
        <v>0</v>
      </c>
      <c r="D161" t="s">
        <v>431</v>
      </c>
      <c r="E161" t="s">
        <v>431</v>
      </c>
      <c r="F161" t="s">
        <v>405</v>
      </c>
      <c r="G161" t="s">
        <v>406</v>
      </c>
      <c r="H161" t="s">
        <v>39</v>
      </c>
      <c r="I161" t="s">
        <v>41</v>
      </c>
      <c r="J161" t="s">
        <v>41</v>
      </c>
      <c r="K161">
        <v>0</v>
      </c>
      <c r="L161">
        <v>0</v>
      </c>
      <c r="M161">
        <v>1.4081511622015599</v>
      </c>
      <c r="N161">
        <v>0</v>
      </c>
      <c r="O161">
        <v>117.77493674511901</v>
      </c>
      <c r="P161" t="s">
        <v>41</v>
      </c>
      <c r="Q161">
        <v>0</v>
      </c>
      <c r="R161" t="s">
        <v>407</v>
      </c>
      <c r="S161">
        <v>2021</v>
      </c>
      <c r="T161" t="s">
        <v>282</v>
      </c>
      <c r="U161" t="s">
        <v>40</v>
      </c>
      <c r="V161" t="s">
        <v>408</v>
      </c>
      <c r="W161" t="s">
        <v>409</v>
      </c>
      <c r="X161" t="s">
        <v>410</v>
      </c>
      <c r="Y161" t="s">
        <v>40</v>
      </c>
      <c r="Z161" t="s">
        <v>43</v>
      </c>
      <c r="AA161">
        <v>1779</v>
      </c>
      <c r="AB161" t="s">
        <v>417</v>
      </c>
      <c r="AC161" t="s">
        <v>412</v>
      </c>
      <c r="AD161" t="s">
        <v>412</v>
      </c>
    </row>
    <row r="162" spans="1:30" x14ac:dyDescent="0.3">
      <c r="A162">
        <v>555721492</v>
      </c>
      <c r="B162">
        <v>555721492</v>
      </c>
      <c r="C162">
        <v>0</v>
      </c>
      <c r="D162" t="s">
        <v>432</v>
      </c>
      <c r="E162" t="s">
        <v>432</v>
      </c>
      <c r="F162" t="s">
        <v>405</v>
      </c>
      <c r="G162" t="s">
        <v>406</v>
      </c>
      <c r="H162" t="s">
        <v>39</v>
      </c>
      <c r="I162" t="s">
        <v>41</v>
      </c>
      <c r="J162" t="s">
        <v>41</v>
      </c>
      <c r="K162">
        <v>0</v>
      </c>
      <c r="L162">
        <v>0</v>
      </c>
      <c r="M162">
        <v>0.11020132845139601</v>
      </c>
      <c r="N162">
        <v>0</v>
      </c>
      <c r="O162">
        <v>140.021305483627</v>
      </c>
      <c r="P162" t="s">
        <v>41</v>
      </c>
      <c r="Q162">
        <v>0</v>
      </c>
      <c r="R162" t="s">
        <v>407</v>
      </c>
      <c r="S162">
        <v>2021</v>
      </c>
      <c r="T162" t="s">
        <v>282</v>
      </c>
      <c r="U162" t="s">
        <v>40</v>
      </c>
      <c r="V162" t="s">
        <v>408</v>
      </c>
      <c r="W162" t="s">
        <v>409</v>
      </c>
      <c r="X162" t="s">
        <v>410</v>
      </c>
      <c r="Y162" t="s">
        <v>40</v>
      </c>
      <c r="Z162" t="s">
        <v>43</v>
      </c>
      <c r="AA162">
        <v>1779</v>
      </c>
      <c r="AB162" t="s">
        <v>421</v>
      </c>
      <c r="AC162" t="s">
        <v>412</v>
      </c>
      <c r="AD162" t="s">
        <v>412</v>
      </c>
    </row>
    <row r="163" spans="1:30" x14ac:dyDescent="0.3">
      <c r="A163">
        <v>555721516</v>
      </c>
      <c r="B163">
        <v>555721516</v>
      </c>
      <c r="C163">
        <v>0</v>
      </c>
      <c r="D163" t="s">
        <v>433</v>
      </c>
      <c r="E163" t="s">
        <v>433</v>
      </c>
      <c r="F163" t="s">
        <v>405</v>
      </c>
      <c r="G163" t="s">
        <v>406</v>
      </c>
      <c r="H163" t="s">
        <v>39</v>
      </c>
      <c r="I163" t="s">
        <v>41</v>
      </c>
      <c r="J163" t="s">
        <v>41</v>
      </c>
      <c r="K163">
        <v>0</v>
      </c>
      <c r="L163">
        <v>0</v>
      </c>
      <c r="M163">
        <v>0</v>
      </c>
      <c r="N163">
        <v>0</v>
      </c>
      <c r="O163">
        <v>131.59974117514801</v>
      </c>
      <c r="P163" t="s">
        <v>41</v>
      </c>
      <c r="Q163">
        <v>0</v>
      </c>
      <c r="R163" t="s">
        <v>407</v>
      </c>
      <c r="S163">
        <v>2021</v>
      </c>
      <c r="T163" t="s">
        <v>282</v>
      </c>
      <c r="U163" t="s">
        <v>40</v>
      </c>
      <c r="V163" t="s">
        <v>408</v>
      </c>
      <c r="W163" t="s">
        <v>409</v>
      </c>
      <c r="X163" t="s">
        <v>410</v>
      </c>
      <c r="Y163" t="s">
        <v>40</v>
      </c>
      <c r="Z163" t="s">
        <v>43</v>
      </c>
      <c r="AA163">
        <v>1779</v>
      </c>
      <c r="AB163" t="s">
        <v>421</v>
      </c>
      <c r="AC163" t="s">
        <v>412</v>
      </c>
      <c r="AD163" t="s">
        <v>412</v>
      </c>
    </row>
    <row r="164" spans="1:30" x14ac:dyDescent="0.3">
      <c r="A164">
        <v>555721530</v>
      </c>
      <c r="B164">
        <v>555721530</v>
      </c>
      <c r="C164">
        <v>0</v>
      </c>
      <c r="D164" t="s">
        <v>434</v>
      </c>
      <c r="E164" t="s">
        <v>434</v>
      </c>
      <c r="F164" t="s">
        <v>405</v>
      </c>
      <c r="G164" t="s">
        <v>406</v>
      </c>
      <c r="H164" t="s">
        <v>39</v>
      </c>
      <c r="I164" t="s">
        <v>41</v>
      </c>
      <c r="J164" t="s">
        <v>41</v>
      </c>
      <c r="K164">
        <v>0</v>
      </c>
      <c r="L164">
        <v>0</v>
      </c>
      <c r="M164">
        <v>0</v>
      </c>
      <c r="N164">
        <v>0</v>
      </c>
      <c r="O164">
        <v>12.1118494554105</v>
      </c>
      <c r="P164" t="s">
        <v>41</v>
      </c>
      <c r="Q164">
        <v>0</v>
      </c>
      <c r="R164" t="s">
        <v>407</v>
      </c>
      <c r="S164">
        <v>2021</v>
      </c>
      <c r="T164" t="s">
        <v>282</v>
      </c>
      <c r="U164" t="s">
        <v>40</v>
      </c>
      <c r="V164" t="s">
        <v>408</v>
      </c>
      <c r="W164" t="s">
        <v>409</v>
      </c>
      <c r="X164" t="s">
        <v>410</v>
      </c>
      <c r="Y164" t="s">
        <v>40</v>
      </c>
      <c r="Z164" t="s">
        <v>43</v>
      </c>
      <c r="AA164">
        <v>1779</v>
      </c>
      <c r="AB164" t="s">
        <v>421</v>
      </c>
      <c r="AC164" t="s">
        <v>412</v>
      </c>
      <c r="AD164" t="s">
        <v>412</v>
      </c>
    </row>
    <row r="165" spans="1:30" x14ac:dyDescent="0.3">
      <c r="A165">
        <v>555721542</v>
      </c>
      <c r="B165">
        <v>555721542</v>
      </c>
      <c r="C165">
        <v>0</v>
      </c>
      <c r="D165" t="s">
        <v>435</v>
      </c>
      <c r="E165" t="s">
        <v>435</v>
      </c>
      <c r="F165" t="s">
        <v>405</v>
      </c>
      <c r="G165" t="s">
        <v>406</v>
      </c>
      <c r="H165" t="s">
        <v>39</v>
      </c>
      <c r="I165" t="s">
        <v>41</v>
      </c>
      <c r="J165" t="s">
        <v>41</v>
      </c>
      <c r="K165">
        <v>0</v>
      </c>
      <c r="L165">
        <v>0</v>
      </c>
      <c r="M165">
        <v>4.14820880020737</v>
      </c>
      <c r="N165">
        <v>0</v>
      </c>
      <c r="O165">
        <v>908.30579911413804</v>
      </c>
      <c r="P165" t="s">
        <v>41</v>
      </c>
      <c r="Q165">
        <v>0</v>
      </c>
      <c r="R165" t="s">
        <v>407</v>
      </c>
      <c r="S165">
        <v>2021</v>
      </c>
      <c r="T165" t="s">
        <v>282</v>
      </c>
      <c r="U165" t="s">
        <v>40</v>
      </c>
      <c r="V165" t="s">
        <v>408</v>
      </c>
      <c r="W165" t="s">
        <v>409</v>
      </c>
      <c r="X165" t="s">
        <v>410</v>
      </c>
      <c r="Y165" t="s">
        <v>40</v>
      </c>
      <c r="Z165" t="s">
        <v>43</v>
      </c>
      <c r="AA165">
        <v>1779</v>
      </c>
      <c r="AB165" t="s">
        <v>421</v>
      </c>
      <c r="AC165" t="s">
        <v>412</v>
      </c>
      <c r="AD165" t="s">
        <v>412</v>
      </c>
    </row>
    <row r="166" spans="1:30" x14ac:dyDescent="0.3">
      <c r="A166">
        <v>555721586</v>
      </c>
      <c r="B166">
        <v>555721586</v>
      </c>
      <c r="C166">
        <v>0</v>
      </c>
      <c r="D166" t="s">
        <v>436</v>
      </c>
      <c r="E166" t="s">
        <v>436</v>
      </c>
      <c r="F166" t="s">
        <v>405</v>
      </c>
      <c r="G166" t="s">
        <v>406</v>
      </c>
      <c r="H166" t="s">
        <v>39</v>
      </c>
      <c r="I166" t="s">
        <v>41</v>
      </c>
      <c r="J166" t="s">
        <v>41</v>
      </c>
      <c r="K166">
        <v>0</v>
      </c>
      <c r="L166">
        <v>0</v>
      </c>
      <c r="M166">
        <v>0</v>
      </c>
      <c r="N166">
        <v>0</v>
      </c>
      <c r="O166">
        <v>49.538406645230403</v>
      </c>
      <c r="P166" t="s">
        <v>41</v>
      </c>
      <c r="Q166">
        <v>0</v>
      </c>
      <c r="R166" t="s">
        <v>407</v>
      </c>
      <c r="S166">
        <v>2021</v>
      </c>
      <c r="T166" t="s">
        <v>282</v>
      </c>
      <c r="U166" t="s">
        <v>40</v>
      </c>
      <c r="V166" t="s">
        <v>408</v>
      </c>
      <c r="W166" t="s">
        <v>409</v>
      </c>
      <c r="X166" t="s">
        <v>410</v>
      </c>
      <c r="Y166" t="s">
        <v>40</v>
      </c>
      <c r="Z166" t="s">
        <v>43</v>
      </c>
      <c r="AA166">
        <v>1779</v>
      </c>
      <c r="AB166" t="s">
        <v>415</v>
      </c>
      <c r="AC166" t="s">
        <v>412</v>
      </c>
      <c r="AD166" t="s">
        <v>412</v>
      </c>
    </row>
    <row r="167" spans="1:30" x14ac:dyDescent="0.3">
      <c r="A167">
        <v>555721482</v>
      </c>
      <c r="B167">
        <v>555721482</v>
      </c>
      <c r="C167">
        <v>0</v>
      </c>
      <c r="D167" t="s">
        <v>437</v>
      </c>
      <c r="E167" t="s">
        <v>437</v>
      </c>
      <c r="F167" t="s">
        <v>405</v>
      </c>
      <c r="G167" t="s">
        <v>406</v>
      </c>
      <c r="H167" t="s">
        <v>39</v>
      </c>
      <c r="I167" t="s">
        <v>41</v>
      </c>
      <c r="J167" t="s">
        <v>41</v>
      </c>
      <c r="K167">
        <v>0</v>
      </c>
      <c r="L167">
        <v>0</v>
      </c>
      <c r="M167">
        <v>0.140426053366174</v>
      </c>
      <c r="N167">
        <v>0</v>
      </c>
      <c r="O167">
        <v>72.999670914118894</v>
      </c>
      <c r="P167" t="s">
        <v>41</v>
      </c>
      <c r="Q167">
        <v>0</v>
      </c>
      <c r="R167" t="s">
        <v>407</v>
      </c>
      <c r="S167">
        <v>2021</v>
      </c>
      <c r="T167" t="s">
        <v>282</v>
      </c>
      <c r="U167" t="s">
        <v>40</v>
      </c>
      <c r="V167" t="s">
        <v>408</v>
      </c>
      <c r="W167" t="s">
        <v>409</v>
      </c>
      <c r="X167" t="s">
        <v>410</v>
      </c>
      <c r="Y167" t="s">
        <v>40</v>
      </c>
      <c r="Z167" t="s">
        <v>43</v>
      </c>
      <c r="AA167">
        <v>1779</v>
      </c>
      <c r="AB167" t="s">
        <v>421</v>
      </c>
      <c r="AC167" t="s">
        <v>412</v>
      </c>
      <c r="AD167" t="s">
        <v>412</v>
      </c>
    </row>
    <row r="168" spans="1:30" x14ac:dyDescent="0.3">
      <c r="A168">
        <v>7838</v>
      </c>
      <c r="B168">
        <v>7838</v>
      </c>
      <c r="C168">
        <v>1</v>
      </c>
      <c r="D168" t="s">
        <v>438</v>
      </c>
      <c r="E168" t="s">
        <v>438</v>
      </c>
      <c r="F168" t="s">
        <v>127</v>
      </c>
      <c r="G168" t="s">
        <v>127</v>
      </c>
      <c r="H168" t="s">
        <v>39</v>
      </c>
      <c r="I168" t="s">
        <v>40</v>
      </c>
      <c r="J168" t="s">
        <v>41</v>
      </c>
      <c r="K168">
        <v>0</v>
      </c>
      <c r="L168">
        <v>0</v>
      </c>
      <c r="M168">
        <v>0</v>
      </c>
      <c r="N168">
        <v>471</v>
      </c>
      <c r="O168">
        <v>494.106852718271</v>
      </c>
      <c r="P168" t="s">
        <v>41</v>
      </c>
      <c r="Q168">
        <v>0</v>
      </c>
      <c r="R168" t="s">
        <v>42</v>
      </c>
      <c r="S168">
        <v>0</v>
      </c>
      <c r="T168" t="s">
        <v>373</v>
      </c>
      <c r="U168" t="s">
        <v>40</v>
      </c>
      <c r="V168" t="s">
        <v>40</v>
      </c>
      <c r="W168" t="s">
        <v>40</v>
      </c>
      <c r="X168" t="s">
        <v>41</v>
      </c>
      <c r="Y168" t="s">
        <v>41</v>
      </c>
      <c r="Z168" t="s">
        <v>43</v>
      </c>
      <c r="AA168">
        <v>213</v>
      </c>
      <c r="AB168" t="s">
        <v>439</v>
      </c>
      <c r="AC168" t="s">
        <v>440</v>
      </c>
      <c r="AD168" t="s">
        <v>440</v>
      </c>
    </row>
    <row r="169" spans="1:30" x14ac:dyDescent="0.3">
      <c r="A169">
        <v>36817</v>
      </c>
      <c r="B169">
        <v>36817</v>
      </c>
      <c r="C169">
        <v>1</v>
      </c>
      <c r="D169" t="s">
        <v>441</v>
      </c>
      <c r="E169" t="s">
        <v>441</v>
      </c>
      <c r="F169" t="s">
        <v>102</v>
      </c>
      <c r="G169" t="s">
        <v>102</v>
      </c>
      <c r="H169" t="s">
        <v>39</v>
      </c>
      <c r="I169" t="s">
        <v>40</v>
      </c>
      <c r="J169" t="s">
        <v>41</v>
      </c>
      <c r="K169">
        <v>0</v>
      </c>
      <c r="L169">
        <v>0</v>
      </c>
      <c r="M169">
        <v>0</v>
      </c>
      <c r="N169">
        <v>0</v>
      </c>
      <c r="O169">
        <v>171.741019028712</v>
      </c>
      <c r="P169" t="s">
        <v>41</v>
      </c>
      <c r="Q169">
        <v>0</v>
      </c>
      <c r="R169" t="s">
        <v>50</v>
      </c>
      <c r="S169">
        <v>0</v>
      </c>
      <c r="T169" t="s">
        <v>373</v>
      </c>
      <c r="U169" t="s">
        <v>40</v>
      </c>
      <c r="V169" t="s">
        <v>40</v>
      </c>
      <c r="W169" t="s">
        <v>40</v>
      </c>
      <c r="X169" t="s">
        <v>41</v>
      </c>
      <c r="Y169" t="s">
        <v>41</v>
      </c>
      <c r="Z169" t="s">
        <v>43</v>
      </c>
      <c r="AA169">
        <v>213</v>
      </c>
      <c r="AB169" t="s">
        <v>442</v>
      </c>
      <c r="AC169" t="s">
        <v>440</v>
      </c>
      <c r="AD169" t="s">
        <v>440</v>
      </c>
    </row>
    <row r="170" spans="1:30" x14ac:dyDescent="0.3">
      <c r="A170">
        <v>36820</v>
      </c>
      <c r="B170">
        <v>36820</v>
      </c>
      <c r="C170">
        <v>1</v>
      </c>
      <c r="D170" t="s">
        <v>443</v>
      </c>
      <c r="E170" t="s">
        <v>443</v>
      </c>
      <c r="F170" t="s">
        <v>102</v>
      </c>
      <c r="G170" t="s">
        <v>102</v>
      </c>
      <c r="H170" t="s">
        <v>39</v>
      </c>
      <c r="I170" t="s">
        <v>40</v>
      </c>
      <c r="J170" t="s">
        <v>41</v>
      </c>
      <c r="K170">
        <v>0</v>
      </c>
      <c r="L170">
        <v>0</v>
      </c>
      <c r="M170">
        <v>0</v>
      </c>
      <c r="N170">
        <v>0</v>
      </c>
      <c r="O170">
        <v>1319.0713862928601</v>
      </c>
      <c r="P170" t="s">
        <v>41</v>
      </c>
      <c r="Q170">
        <v>0</v>
      </c>
      <c r="R170" t="s">
        <v>50</v>
      </c>
      <c r="S170">
        <v>0</v>
      </c>
      <c r="T170" t="s">
        <v>373</v>
      </c>
      <c r="U170" t="s">
        <v>40</v>
      </c>
      <c r="V170" t="s">
        <v>40</v>
      </c>
      <c r="W170" t="s">
        <v>40</v>
      </c>
      <c r="X170" t="s">
        <v>41</v>
      </c>
      <c r="Y170" t="s">
        <v>41</v>
      </c>
      <c r="Z170" t="s">
        <v>43</v>
      </c>
      <c r="AA170">
        <v>213</v>
      </c>
      <c r="AB170" t="s">
        <v>444</v>
      </c>
      <c r="AC170" t="s">
        <v>440</v>
      </c>
      <c r="AD170" t="s">
        <v>440</v>
      </c>
    </row>
    <row r="171" spans="1:30" x14ac:dyDescent="0.3">
      <c r="A171">
        <v>36963</v>
      </c>
      <c r="B171">
        <v>36963</v>
      </c>
      <c r="C171">
        <v>1</v>
      </c>
      <c r="D171" t="s">
        <v>445</v>
      </c>
      <c r="E171" t="s">
        <v>445</v>
      </c>
      <c r="F171" t="s">
        <v>102</v>
      </c>
      <c r="G171" t="s">
        <v>102</v>
      </c>
      <c r="H171" t="s">
        <v>39</v>
      </c>
      <c r="I171" t="s">
        <v>40</v>
      </c>
      <c r="J171" t="s">
        <v>41</v>
      </c>
      <c r="K171">
        <v>0</v>
      </c>
      <c r="L171">
        <v>0</v>
      </c>
      <c r="M171">
        <v>0</v>
      </c>
      <c r="N171">
        <v>0</v>
      </c>
      <c r="O171">
        <v>2.5404130524653401</v>
      </c>
      <c r="P171" t="s">
        <v>41</v>
      </c>
      <c r="Q171">
        <v>0</v>
      </c>
      <c r="R171" t="s">
        <v>50</v>
      </c>
      <c r="S171">
        <v>0</v>
      </c>
      <c r="T171" t="s">
        <v>373</v>
      </c>
      <c r="U171" t="s">
        <v>40</v>
      </c>
      <c r="V171" t="s">
        <v>40</v>
      </c>
      <c r="W171" t="s">
        <v>40</v>
      </c>
      <c r="X171" t="s">
        <v>41</v>
      </c>
      <c r="Y171" t="s">
        <v>41</v>
      </c>
      <c r="Z171" t="s">
        <v>43</v>
      </c>
      <c r="AA171">
        <v>213</v>
      </c>
      <c r="AB171" t="s">
        <v>446</v>
      </c>
      <c r="AC171" t="s">
        <v>440</v>
      </c>
      <c r="AD171" t="s">
        <v>440</v>
      </c>
    </row>
    <row r="172" spans="1:30" x14ac:dyDescent="0.3">
      <c r="A172">
        <v>36971</v>
      </c>
      <c r="B172">
        <v>36971</v>
      </c>
      <c r="C172">
        <v>1</v>
      </c>
      <c r="D172" t="s">
        <v>447</v>
      </c>
      <c r="E172" t="s">
        <v>447</v>
      </c>
      <c r="F172" t="s">
        <v>102</v>
      </c>
      <c r="G172" t="s">
        <v>102</v>
      </c>
      <c r="H172" t="s">
        <v>39</v>
      </c>
      <c r="I172" t="s">
        <v>40</v>
      </c>
      <c r="J172" t="s">
        <v>41</v>
      </c>
      <c r="K172">
        <v>0</v>
      </c>
      <c r="L172">
        <v>0</v>
      </c>
      <c r="M172">
        <v>0</v>
      </c>
      <c r="N172">
        <v>0</v>
      </c>
      <c r="O172">
        <v>823.64399665150904</v>
      </c>
      <c r="P172" t="s">
        <v>41</v>
      </c>
      <c r="Q172">
        <v>0</v>
      </c>
      <c r="R172" t="s">
        <v>50</v>
      </c>
      <c r="S172">
        <v>0</v>
      </c>
      <c r="T172" t="s">
        <v>373</v>
      </c>
      <c r="U172" t="s">
        <v>40</v>
      </c>
      <c r="V172" t="s">
        <v>40</v>
      </c>
      <c r="W172" t="s">
        <v>40</v>
      </c>
      <c r="X172" t="s">
        <v>41</v>
      </c>
      <c r="Y172" t="s">
        <v>41</v>
      </c>
      <c r="Z172" t="s">
        <v>43</v>
      </c>
      <c r="AA172">
        <v>213</v>
      </c>
      <c r="AB172" t="s">
        <v>448</v>
      </c>
      <c r="AC172" t="s">
        <v>440</v>
      </c>
      <c r="AD172" t="s">
        <v>440</v>
      </c>
    </row>
    <row r="173" spans="1:30" x14ac:dyDescent="0.3">
      <c r="A173">
        <v>36976</v>
      </c>
      <c r="B173">
        <v>36976</v>
      </c>
      <c r="C173">
        <v>1</v>
      </c>
      <c r="D173" t="s">
        <v>449</v>
      </c>
      <c r="E173" t="s">
        <v>449</v>
      </c>
      <c r="F173" t="s">
        <v>102</v>
      </c>
      <c r="G173" t="s">
        <v>102</v>
      </c>
      <c r="H173" t="s">
        <v>39</v>
      </c>
      <c r="I173" t="s">
        <v>40</v>
      </c>
      <c r="J173" t="s">
        <v>41</v>
      </c>
      <c r="K173">
        <v>0</v>
      </c>
      <c r="L173">
        <v>0</v>
      </c>
      <c r="M173">
        <v>0</v>
      </c>
      <c r="N173">
        <v>115.209999999999</v>
      </c>
      <c r="O173">
        <v>111.364700734406</v>
      </c>
      <c r="P173" t="s">
        <v>41</v>
      </c>
      <c r="Q173">
        <v>0</v>
      </c>
      <c r="R173" t="s">
        <v>50</v>
      </c>
      <c r="S173">
        <v>0</v>
      </c>
      <c r="T173" t="s">
        <v>373</v>
      </c>
      <c r="U173" t="s">
        <v>40</v>
      </c>
      <c r="V173" t="s">
        <v>40</v>
      </c>
      <c r="W173" t="s">
        <v>40</v>
      </c>
      <c r="X173" t="s">
        <v>41</v>
      </c>
      <c r="Y173" t="s">
        <v>41</v>
      </c>
      <c r="Z173" t="s">
        <v>43</v>
      </c>
      <c r="AA173">
        <v>213</v>
      </c>
      <c r="AB173" t="s">
        <v>448</v>
      </c>
      <c r="AC173" t="s">
        <v>440</v>
      </c>
      <c r="AD173" t="s">
        <v>440</v>
      </c>
    </row>
    <row r="174" spans="1:30" x14ac:dyDescent="0.3">
      <c r="A174">
        <v>36977</v>
      </c>
      <c r="B174">
        <v>36977</v>
      </c>
      <c r="C174">
        <v>1</v>
      </c>
      <c r="D174" t="s">
        <v>450</v>
      </c>
      <c r="E174" t="s">
        <v>450</v>
      </c>
      <c r="F174" t="s">
        <v>102</v>
      </c>
      <c r="G174" t="s">
        <v>102</v>
      </c>
      <c r="H174" t="s">
        <v>39</v>
      </c>
      <c r="I174" t="s">
        <v>40</v>
      </c>
      <c r="J174" t="s">
        <v>41</v>
      </c>
      <c r="K174">
        <v>0</v>
      </c>
      <c r="L174">
        <v>0</v>
      </c>
      <c r="M174">
        <v>0</v>
      </c>
      <c r="N174">
        <v>0</v>
      </c>
      <c r="O174">
        <v>557.79927390222804</v>
      </c>
      <c r="P174" t="s">
        <v>41</v>
      </c>
      <c r="Q174">
        <v>0</v>
      </c>
      <c r="R174" t="s">
        <v>50</v>
      </c>
      <c r="S174">
        <v>0</v>
      </c>
      <c r="T174" t="s">
        <v>373</v>
      </c>
      <c r="U174" t="s">
        <v>40</v>
      </c>
      <c r="V174" t="s">
        <v>40</v>
      </c>
      <c r="W174" t="s">
        <v>40</v>
      </c>
      <c r="X174" t="s">
        <v>41</v>
      </c>
      <c r="Y174" t="s">
        <v>41</v>
      </c>
      <c r="Z174" t="s">
        <v>43</v>
      </c>
      <c r="AA174">
        <v>213</v>
      </c>
      <c r="AB174" t="s">
        <v>448</v>
      </c>
      <c r="AC174" t="s">
        <v>440</v>
      </c>
      <c r="AD174" t="s">
        <v>440</v>
      </c>
    </row>
    <row r="175" spans="1:30" x14ac:dyDescent="0.3">
      <c r="A175">
        <v>36978</v>
      </c>
      <c r="B175">
        <v>36978</v>
      </c>
      <c r="C175">
        <v>1</v>
      </c>
      <c r="D175" t="s">
        <v>438</v>
      </c>
      <c r="E175" t="s">
        <v>438</v>
      </c>
      <c r="F175" t="s">
        <v>102</v>
      </c>
      <c r="G175" t="s">
        <v>102</v>
      </c>
      <c r="H175" t="s">
        <v>39</v>
      </c>
      <c r="I175" t="s">
        <v>40</v>
      </c>
      <c r="J175" t="s">
        <v>41</v>
      </c>
      <c r="K175">
        <v>0</v>
      </c>
      <c r="L175">
        <v>0</v>
      </c>
      <c r="M175">
        <v>0</v>
      </c>
      <c r="N175">
        <v>471</v>
      </c>
      <c r="O175">
        <v>494.106852718271</v>
      </c>
      <c r="P175" t="s">
        <v>41</v>
      </c>
      <c r="Q175">
        <v>0</v>
      </c>
      <c r="R175" t="s">
        <v>50</v>
      </c>
      <c r="S175">
        <v>0</v>
      </c>
      <c r="T175" t="s">
        <v>373</v>
      </c>
      <c r="U175" t="s">
        <v>40</v>
      </c>
      <c r="V175" t="s">
        <v>40</v>
      </c>
      <c r="W175" t="s">
        <v>40</v>
      </c>
      <c r="X175" t="s">
        <v>41</v>
      </c>
      <c r="Y175" t="s">
        <v>41</v>
      </c>
      <c r="Z175" t="s">
        <v>43</v>
      </c>
      <c r="AA175">
        <v>213</v>
      </c>
      <c r="AB175" t="s">
        <v>439</v>
      </c>
      <c r="AC175" t="s">
        <v>440</v>
      </c>
      <c r="AD175" t="s">
        <v>440</v>
      </c>
    </row>
    <row r="176" spans="1:30" x14ac:dyDescent="0.3">
      <c r="A176">
        <v>36980</v>
      </c>
      <c r="B176">
        <v>36980</v>
      </c>
      <c r="C176">
        <v>1</v>
      </c>
      <c r="D176" t="s">
        <v>451</v>
      </c>
      <c r="E176" t="s">
        <v>451</v>
      </c>
      <c r="F176" t="s">
        <v>102</v>
      </c>
      <c r="G176" t="s">
        <v>102</v>
      </c>
      <c r="H176" t="s">
        <v>39</v>
      </c>
      <c r="I176" t="s">
        <v>40</v>
      </c>
      <c r="J176" t="s">
        <v>41</v>
      </c>
      <c r="K176">
        <v>0</v>
      </c>
      <c r="L176">
        <v>0</v>
      </c>
      <c r="M176">
        <v>0</v>
      </c>
      <c r="N176">
        <v>0</v>
      </c>
      <c r="O176">
        <v>306.675234144103</v>
      </c>
      <c r="P176" t="s">
        <v>41</v>
      </c>
      <c r="Q176">
        <v>0</v>
      </c>
      <c r="R176" t="s">
        <v>50</v>
      </c>
      <c r="S176">
        <v>0</v>
      </c>
      <c r="T176" t="s">
        <v>373</v>
      </c>
      <c r="U176" t="s">
        <v>40</v>
      </c>
      <c r="V176" t="s">
        <v>40</v>
      </c>
      <c r="W176" t="s">
        <v>40</v>
      </c>
      <c r="X176" t="s">
        <v>41</v>
      </c>
      <c r="Y176" t="s">
        <v>41</v>
      </c>
      <c r="Z176" t="s">
        <v>43</v>
      </c>
      <c r="AA176">
        <v>213</v>
      </c>
      <c r="AB176" t="s">
        <v>439</v>
      </c>
      <c r="AC176" t="s">
        <v>440</v>
      </c>
      <c r="AD176" t="s">
        <v>440</v>
      </c>
    </row>
    <row r="177" spans="1:30" x14ac:dyDescent="0.3">
      <c r="A177">
        <v>300898</v>
      </c>
      <c r="B177">
        <v>300898</v>
      </c>
      <c r="C177">
        <v>1</v>
      </c>
      <c r="D177" t="s">
        <v>452</v>
      </c>
      <c r="E177" t="s">
        <v>452</v>
      </c>
      <c r="F177" t="s">
        <v>102</v>
      </c>
      <c r="G177" t="s">
        <v>102</v>
      </c>
      <c r="H177" t="s">
        <v>39</v>
      </c>
      <c r="I177" t="s">
        <v>40</v>
      </c>
      <c r="J177" t="s">
        <v>41</v>
      </c>
      <c r="K177">
        <v>0</v>
      </c>
      <c r="L177">
        <v>0</v>
      </c>
      <c r="M177">
        <v>0</v>
      </c>
      <c r="N177">
        <v>0</v>
      </c>
      <c r="O177">
        <v>11.6157510751</v>
      </c>
      <c r="P177" t="s">
        <v>41</v>
      </c>
      <c r="Q177">
        <v>0</v>
      </c>
      <c r="R177" t="s">
        <v>50</v>
      </c>
      <c r="S177">
        <v>0</v>
      </c>
      <c r="T177" t="s">
        <v>373</v>
      </c>
      <c r="U177" t="s">
        <v>40</v>
      </c>
      <c r="V177" t="s">
        <v>40</v>
      </c>
      <c r="W177" t="s">
        <v>40</v>
      </c>
      <c r="X177" t="s">
        <v>41</v>
      </c>
      <c r="Y177" t="s">
        <v>41</v>
      </c>
      <c r="Z177" t="s">
        <v>43</v>
      </c>
      <c r="AA177">
        <v>213</v>
      </c>
      <c r="AB177" t="s">
        <v>453</v>
      </c>
      <c r="AC177" t="s">
        <v>440</v>
      </c>
      <c r="AD177" t="s">
        <v>440</v>
      </c>
    </row>
    <row r="178" spans="1:30" x14ac:dyDescent="0.3">
      <c r="A178">
        <v>7863</v>
      </c>
      <c r="B178">
        <v>7863</v>
      </c>
      <c r="C178">
        <v>1</v>
      </c>
      <c r="D178" t="s">
        <v>454</v>
      </c>
      <c r="E178" t="s">
        <v>454</v>
      </c>
      <c r="F178" t="s">
        <v>127</v>
      </c>
      <c r="G178" t="s">
        <v>127</v>
      </c>
      <c r="H178" t="s">
        <v>39</v>
      </c>
      <c r="I178" t="s">
        <v>74</v>
      </c>
      <c r="J178" t="s">
        <v>41</v>
      </c>
      <c r="K178">
        <v>0</v>
      </c>
      <c r="L178">
        <v>0</v>
      </c>
      <c r="M178">
        <v>0</v>
      </c>
      <c r="N178">
        <v>294.22000000000003</v>
      </c>
      <c r="O178">
        <v>364.67541394127301</v>
      </c>
      <c r="P178" t="s">
        <v>41</v>
      </c>
      <c r="Q178">
        <v>0</v>
      </c>
      <c r="R178" t="s">
        <v>50</v>
      </c>
      <c r="S178">
        <v>1971</v>
      </c>
      <c r="T178" t="s">
        <v>373</v>
      </c>
      <c r="U178" t="s">
        <v>40</v>
      </c>
      <c r="V178" t="s">
        <v>40</v>
      </c>
      <c r="W178" t="s">
        <v>40</v>
      </c>
      <c r="X178" t="s">
        <v>41</v>
      </c>
      <c r="Y178" t="s">
        <v>41</v>
      </c>
      <c r="Z178" t="s">
        <v>40</v>
      </c>
      <c r="AA178">
        <v>212</v>
      </c>
      <c r="AB178" t="s">
        <v>455</v>
      </c>
      <c r="AC178" t="s">
        <v>440</v>
      </c>
      <c r="AD178" t="s">
        <v>440</v>
      </c>
    </row>
    <row r="179" spans="1:30" x14ac:dyDescent="0.3">
      <c r="A179">
        <v>36178</v>
      </c>
      <c r="B179">
        <v>36178</v>
      </c>
      <c r="C179">
        <v>1</v>
      </c>
      <c r="D179" t="s">
        <v>456</v>
      </c>
      <c r="E179" t="s">
        <v>456</v>
      </c>
      <c r="F179" t="s">
        <v>102</v>
      </c>
      <c r="G179" t="s">
        <v>102</v>
      </c>
      <c r="H179" t="s">
        <v>39</v>
      </c>
      <c r="I179" t="s">
        <v>40</v>
      </c>
      <c r="J179" t="s">
        <v>41</v>
      </c>
      <c r="K179">
        <v>0</v>
      </c>
      <c r="L179">
        <v>0</v>
      </c>
      <c r="M179">
        <v>0</v>
      </c>
      <c r="N179">
        <v>0</v>
      </c>
      <c r="O179">
        <v>43.467066425086898</v>
      </c>
      <c r="P179" t="s">
        <v>41</v>
      </c>
      <c r="Q179">
        <v>0</v>
      </c>
      <c r="R179" t="s">
        <v>50</v>
      </c>
      <c r="S179">
        <v>0</v>
      </c>
      <c r="T179" t="s">
        <v>373</v>
      </c>
      <c r="U179" t="s">
        <v>40</v>
      </c>
      <c r="V179" t="s">
        <v>40</v>
      </c>
      <c r="W179" t="s">
        <v>40</v>
      </c>
      <c r="X179" t="s">
        <v>41</v>
      </c>
      <c r="Y179" t="s">
        <v>41</v>
      </c>
      <c r="Z179" t="s">
        <v>43</v>
      </c>
      <c r="AA179">
        <v>213</v>
      </c>
      <c r="AB179" t="s">
        <v>457</v>
      </c>
      <c r="AC179" t="s">
        <v>440</v>
      </c>
      <c r="AD179" t="s">
        <v>440</v>
      </c>
    </row>
    <row r="180" spans="1:30" x14ac:dyDescent="0.3">
      <c r="A180">
        <v>36189</v>
      </c>
      <c r="B180">
        <v>36189</v>
      </c>
      <c r="C180">
        <v>1</v>
      </c>
      <c r="D180" t="s">
        <v>458</v>
      </c>
      <c r="E180" t="s">
        <v>458</v>
      </c>
      <c r="F180" t="s">
        <v>102</v>
      </c>
      <c r="G180" t="s">
        <v>102</v>
      </c>
      <c r="H180" t="s">
        <v>39</v>
      </c>
      <c r="I180" t="s">
        <v>40</v>
      </c>
      <c r="J180" t="s">
        <v>41</v>
      </c>
      <c r="K180">
        <v>0</v>
      </c>
      <c r="L180">
        <v>0</v>
      </c>
      <c r="M180">
        <v>0</v>
      </c>
      <c r="N180">
        <v>0</v>
      </c>
      <c r="O180">
        <v>14.696931689099101</v>
      </c>
      <c r="P180" t="s">
        <v>41</v>
      </c>
      <c r="Q180">
        <v>0</v>
      </c>
      <c r="R180" t="s">
        <v>50</v>
      </c>
      <c r="S180">
        <v>0</v>
      </c>
      <c r="T180" t="s">
        <v>373</v>
      </c>
      <c r="U180" t="s">
        <v>40</v>
      </c>
      <c r="V180" t="s">
        <v>40</v>
      </c>
      <c r="W180" t="s">
        <v>40</v>
      </c>
      <c r="X180" t="s">
        <v>41</v>
      </c>
      <c r="Y180" t="s">
        <v>41</v>
      </c>
      <c r="Z180" t="s">
        <v>43</v>
      </c>
      <c r="AA180">
        <v>213</v>
      </c>
      <c r="AB180" t="s">
        <v>459</v>
      </c>
      <c r="AC180" t="s">
        <v>440</v>
      </c>
      <c r="AD180" t="s">
        <v>440</v>
      </c>
    </row>
    <row r="181" spans="1:30" x14ac:dyDescent="0.3">
      <c r="A181">
        <v>36190</v>
      </c>
      <c r="B181">
        <v>36190</v>
      </c>
      <c r="C181">
        <v>1</v>
      </c>
      <c r="D181" t="s">
        <v>460</v>
      </c>
      <c r="E181" t="s">
        <v>460</v>
      </c>
      <c r="F181" t="s">
        <v>102</v>
      </c>
      <c r="G181" t="s">
        <v>102</v>
      </c>
      <c r="H181" t="s">
        <v>39</v>
      </c>
      <c r="I181" t="s">
        <v>40</v>
      </c>
      <c r="J181" t="s">
        <v>41</v>
      </c>
      <c r="K181">
        <v>0</v>
      </c>
      <c r="L181">
        <v>0</v>
      </c>
      <c r="M181">
        <v>0</v>
      </c>
      <c r="N181">
        <v>0</v>
      </c>
      <c r="O181">
        <v>5.3759014467124597</v>
      </c>
      <c r="P181" t="s">
        <v>41</v>
      </c>
      <c r="Q181">
        <v>0</v>
      </c>
      <c r="R181" t="s">
        <v>50</v>
      </c>
      <c r="S181">
        <v>0</v>
      </c>
      <c r="T181" t="s">
        <v>373</v>
      </c>
      <c r="U181" t="s">
        <v>40</v>
      </c>
      <c r="V181" t="s">
        <v>40</v>
      </c>
      <c r="W181" t="s">
        <v>40</v>
      </c>
      <c r="X181" t="s">
        <v>41</v>
      </c>
      <c r="Y181" t="s">
        <v>41</v>
      </c>
      <c r="Z181" t="s">
        <v>43</v>
      </c>
      <c r="AA181">
        <v>213</v>
      </c>
      <c r="AB181" t="s">
        <v>459</v>
      </c>
      <c r="AC181" t="s">
        <v>440</v>
      </c>
      <c r="AD181" t="s">
        <v>440</v>
      </c>
    </row>
    <row r="182" spans="1:30" x14ac:dyDescent="0.3">
      <c r="A182">
        <v>36289</v>
      </c>
      <c r="B182">
        <v>36289</v>
      </c>
      <c r="C182">
        <v>1</v>
      </c>
      <c r="D182" t="s">
        <v>461</v>
      </c>
      <c r="E182" t="s">
        <v>461</v>
      </c>
      <c r="F182" t="s">
        <v>102</v>
      </c>
      <c r="G182" t="s">
        <v>102</v>
      </c>
      <c r="H182" t="s">
        <v>39</v>
      </c>
      <c r="I182" t="s">
        <v>40</v>
      </c>
      <c r="J182" t="s">
        <v>41</v>
      </c>
      <c r="K182">
        <v>0</v>
      </c>
      <c r="L182">
        <v>0</v>
      </c>
      <c r="M182">
        <v>0</v>
      </c>
      <c r="N182">
        <v>0</v>
      </c>
      <c r="O182">
        <v>8.9446761382661908</v>
      </c>
      <c r="P182" t="s">
        <v>41</v>
      </c>
      <c r="Q182">
        <v>0</v>
      </c>
      <c r="R182" t="s">
        <v>50</v>
      </c>
      <c r="S182">
        <v>0</v>
      </c>
      <c r="T182" t="s">
        <v>373</v>
      </c>
      <c r="U182" t="s">
        <v>40</v>
      </c>
      <c r="V182" t="s">
        <v>40</v>
      </c>
      <c r="W182" t="s">
        <v>40</v>
      </c>
      <c r="X182" t="s">
        <v>41</v>
      </c>
      <c r="Y182" t="s">
        <v>41</v>
      </c>
      <c r="Z182" t="s">
        <v>43</v>
      </c>
      <c r="AA182">
        <v>213</v>
      </c>
      <c r="AB182" t="s">
        <v>459</v>
      </c>
      <c r="AC182" t="s">
        <v>440</v>
      </c>
      <c r="AD182" t="s">
        <v>440</v>
      </c>
    </row>
    <row r="183" spans="1:30" x14ac:dyDescent="0.3">
      <c r="A183">
        <v>36297</v>
      </c>
      <c r="B183">
        <v>36297</v>
      </c>
      <c r="C183">
        <v>1</v>
      </c>
      <c r="D183" t="s">
        <v>462</v>
      </c>
      <c r="E183" t="s">
        <v>462</v>
      </c>
      <c r="F183" t="s">
        <v>102</v>
      </c>
      <c r="G183" t="s">
        <v>102</v>
      </c>
      <c r="H183" t="s">
        <v>39</v>
      </c>
      <c r="I183" t="s">
        <v>40</v>
      </c>
      <c r="J183" t="s">
        <v>41</v>
      </c>
      <c r="K183">
        <v>0</v>
      </c>
      <c r="L183">
        <v>0</v>
      </c>
      <c r="M183">
        <v>0</v>
      </c>
      <c r="N183">
        <v>0</v>
      </c>
      <c r="O183">
        <v>42.671341331083703</v>
      </c>
      <c r="P183" t="s">
        <v>41</v>
      </c>
      <c r="Q183">
        <v>0</v>
      </c>
      <c r="R183" t="s">
        <v>50</v>
      </c>
      <c r="S183">
        <v>0</v>
      </c>
      <c r="T183" t="s">
        <v>373</v>
      </c>
      <c r="U183" t="s">
        <v>40</v>
      </c>
      <c r="V183" t="s">
        <v>40</v>
      </c>
      <c r="W183" t="s">
        <v>40</v>
      </c>
      <c r="X183" t="s">
        <v>41</v>
      </c>
      <c r="Y183" t="s">
        <v>41</v>
      </c>
      <c r="Z183" t="s">
        <v>43</v>
      </c>
      <c r="AA183">
        <v>213</v>
      </c>
      <c r="AB183" t="s">
        <v>459</v>
      </c>
      <c r="AC183" t="s">
        <v>440</v>
      </c>
      <c r="AD183" t="s">
        <v>440</v>
      </c>
    </row>
    <row r="184" spans="1:30" x14ac:dyDescent="0.3">
      <c r="A184">
        <v>36351</v>
      </c>
      <c r="B184">
        <v>36351</v>
      </c>
      <c r="C184">
        <v>1</v>
      </c>
      <c r="D184" t="s">
        <v>463</v>
      </c>
      <c r="E184" t="s">
        <v>463</v>
      </c>
      <c r="F184" t="s">
        <v>102</v>
      </c>
      <c r="G184" t="s">
        <v>102</v>
      </c>
      <c r="H184" t="s">
        <v>39</v>
      </c>
      <c r="I184" t="s">
        <v>40</v>
      </c>
      <c r="J184" t="s">
        <v>41</v>
      </c>
      <c r="K184">
        <v>0</v>
      </c>
      <c r="L184">
        <v>0</v>
      </c>
      <c r="M184">
        <v>0</v>
      </c>
      <c r="N184">
        <v>0</v>
      </c>
      <c r="O184">
        <v>159.10489332613599</v>
      </c>
      <c r="P184" t="s">
        <v>41</v>
      </c>
      <c r="Q184">
        <v>0</v>
      </c>
      <c r="R184" t="s">
        <v>50</v>
      </c>
      <c r="S184">
        <v>0</v>
      </c>
      <c r="T184" t="s">
        <v>373</v>
      </c>
      <c r="U184" t="s">
        <v>40</v>
      </c>
      <c r="V184" t="s">
        <v>40</v>
      </c>
      <c r="W184" t="s">
        <v>40</v>
      </c>
      <c r="X184" t="s">
        <v>41</v>
      </c>
      <c r="Y184" t="s">
        <v>41</v>
      </c>
      <c r="Z184" t="s">
        <v>43</v>
      </c>
      <c r="AA184">
        <v>213</v>
      </c>
      <c r="AB184" t="s">
        <v>464</v>
      </c>
      <c r="AC184" t="s">
        <v>440</v>
      </c>
      <c r="AD184" t="s">
        <v>440</v>
      </c>
    </row>
    <row r="185" spans="1:30" x14ac:dyDescent="0.3">
      <c r="A185">
        <v>36350</v>
      </c>
      <c r="B185">
        <v>36350</v>
      </c>
      <c r="C185">
        <v>1</v>
      </c>
      <c r="D185" t="s">
        <v>465</v>
      </c>
      <c r="E185" t="s">
        <v>465</v>
      </c>
      <c r="F185" t="s">
        <v>102</v>
      </c>
      <c r="G185" t="s">
        <v>102</v>
      </c>
      <c r="H185" t="s">
        <v>39</v>
      </c>
      <c r="I185" t="s">
        <v>40</v>
      </c>
      <c r="J185" t="s">
        <v>41</v>
      </c>
      <c r="K185">
        <v>0</v>
      </c>
      <c r="L185">
        <v>0</v>
      </c>
      <c r="M185">
        <v>0</v>
      </c>
      <c r="N185">
        <v>0</v>
      </c>
      <c r="O185">
        <v>131.95722422162501</v>
      </c>
      <c r="P185" t="s">
        <v>41</v>
      </c>
      <c r="Q185">
        <v>0</v>
      </c>
      <c r="R185" t="s">
        <v>50</v>
      </c>
      <c r="S185">
        <v>0</v>
      </c>
      <c r="T185" t="s">
        <v>373</v>
      </c>
      <c r="U185" t="s">
        <v>40</v>
      </c>
      <c r="V185" t="s">
        <v>40</v>
      </c>
      <c r="W185" t="s">
        <v>40</v>
      </c>
      <c r="X185" t="s">
        <v>41</v>
      </c>
      <c r="Y185" t="s">
        <v>41</v>
      </c>
      <c r="Z185" t="s">
        <v>43</v>
      </c>
      <c r="AA185">
        <v>213</v>
      </c>
      <c r="AB185" t="s">
        <v>464</v>
      </c>
      <c r="AC185" t="s">
        <v>440</v>
      </c>
      <c r="AD185" t="s">
        <v>440</v>
      </c>
    </row>
    <row r="186" spans="1:30" x14ac:dyDescent="0.3">
      <c r="A186">
        <v>36391</v>
      </c>
      <c r="B186">
        <v>36391</v>
      </c>
      <c r="C186">
        <v>1</v>
      </c>
      <c r="D186" t="s">
        <v>466</v>
      </c>
      <c r="E186" t="s">
        <v>466</v>
      </c>
      <c r="F186" t="s">
        <v>102</v>
      </c>
      <c r="G186" t="s">
        <v>102</v>
      </c>
      <c r="H186" t="s">
        <v>39</v>
      </c>
      <c r="I186" t="s">
        <v>40</v>
      </c>
      <c r="J186" t="s">
        <v>41</v>
      </c>
      <c r="K186">
        <v>0</v>
      </c>
      <c r="L186">
        <v>0</v>
      </c>
      <c r="M186">
        <v>0</v>
      </c>
      <c r="N186">
        <v>0</v>
      </c>
      <c r="O186">
        <v>4.2632205816110398</v>
      </c>
      <c r="P186" t="s">
        <v>41</v>
      </c>
      <c r="Q186">
        <v>0</v>
      </c>
      <c r="R186" t="s">
        <v>50</v>
      </c>
      <c r="S186">
        <v>0</v>
      </c>
      <c r="T186" t="s">
        <v>373</v>
      </c>
      <c r="U186" t="s">
        <v>40</v>
      </c>
      <c r="V186" t="s">
        <v>40</v>
      </c>
      <c r="W186" t="s">
        <v>40</v>
      </c>
      <c r="X186" t="s">
        <v>41</v>
      </c>
      <c r="Y186" t="s">
        <v>41</v>
      </c>
      <c r="Z186" t="s">
        <v>43</v>
      </c>
      <c r="AA186">
        <v>213</v>
      </c>
      <c r="AB186" t="s">
        <v>467</v>
      </c>
      <c r="AC186" t="s">
        <v>440</v>
      </c>
      <c r="AD186" t="s">
        <v>440</v>
      </c>
    </row>
    <row r="187" spans="1:30" x14ac:dyDescent="0.3">
      <c r="A187">
        <v>36392</v>
      </c>
      <c r="B187">
        <v>36392</v>
      </c>
      <c r="C187">
        <v>1</v>
      </c>
      <c r="D187" t="s">
        <v>468</v>
      </c>
      <c r="E187" t="s">
        <v>468</v>
      </c>
      <c r="F187" t="s">
        <v>102</v>
      </c>
      <c r="G187" t="s">
        <v>102</v>
      </c>
      <c r="H187" t="s">
        <v>39</v>
      </c>
      <c r="I187" t="s">
        <v>40</v>
      </c>
      <c r="J187" t="s">
        <v>41</v>
      </c>
      <c r="K187">
        <v>0</v>
      </c>
      <c r="L187">
        <v>0</v>
      </c>
      <c r="M187">
        <v>0</v>
      </c>
      <c r="N187">
        <v>0</v>
      </c>
      <c r="O187">
        <v>2.3786978171500301</v>
      </c>
      <c r="P187" t="s">
        <v>41</v>
      </c>
      <c r="Q187">
        <v>0</v>
      </c>
      <c r="R187" t="s">
        <v>50</v>
      </c>
      <c r="S187">
        <v>0</v>
      </c>
      <c r="T187" t="s">
        <v>373</v>
      </c>
      <c r="U187" t="s">
        <v>40</v>
      </c>
      <c r="V187" t="s">
        <v>40</v>
      </c>
      <c r="W187" t="s">
        <v>40</v>
      </c>
      <c r="X187" t="s">
        <v>41</v>
      </c>
      <c r="Y187" t="s">
        <v>41</v>
      </c>
      <c r="Z187" t="s">
        <v>43</v>
      </c>
      <c r="AA187">
        <v>213</v>
      </c>
      <c r="AB187" t="s">
        <v>467</v>
      </c>
      <c r="AC187" t="s">
        <v>440</v>
      </c>
      <c r="AD187" t="s">
        <v>440</v>
      </c>
    </row>
    <row r="188" spans="1:30" x14ac:dyDescent="0.3">
      <c r="A188">
        <v>36393</v>
      </c>
      <c r="B188">
        <v>36393</v>
      </c>
      <c r="C188">
        <v>1</v>
      </c>
      <c r="D188" t="s">
        <v>469</v>
      </c>
      <c r="E188" t="s">
        <v>469</v>
      </c>
      <c r="F188" t="s">
        <v>102</v>
      </c>
      <c r="G188" t="s">
        <v>102</v>
      </c>
      <c r="H188" t="s">
        <v>39</v>
      </c>
      <c r="I188" t="s">
        <v>40</v>
      </c>
      <c r="J188" t="s">
        <v>41</v>
      </c>
      <c r="K188">
        <v>0</v>
      </c>
      <c r="L188">
        <v>0</v>
      </c>
      <c r="M188">
        <v>0</v>
      </c>
      <c r="N188">
        <v>0</v>
      </c>
      <c r="O188">
        <v>46.293090297859102</v>
      </c>
      <c r="P188" t="s">
        <v>41</v>
      </c>
      <c r="Q188">
        <v>0</v>
      </c>
      <c r="R188" t="s">
        <v>50</v>
      </c>
      <c r="S188">
        <v>0</v>
      </c>
      <c r="T188" t="s">
        <v>373</v>
      </c>
      <c r="U188" t="s">
        <v>40</v>
      </c>
      <c r="V188" t="s">
        <v>40</v>
      </c>
      <c r="W188" t="s">
        <v>40</v>
      </c>
      <c r="X188" t="s">
        <v>41</v>
      </c>
      <c r="Y188" t="s">
        <v>41</v>
      </c>
      <c r="Z188" t="s">
        <v>43</v>
      </c>
      <c r="AA188">
        <v>213</v>
      </c>
      <c r="AB188" t="s">
        <v>459</v>
      </c>
      <c r="AC188" t="s">
        <v>440</v>
      </c>
      <c r="AD188" t="s">
        <v>440</v>
      </c>
    </row>
    <row r="189" spans="1:30" x14ac:dyDescent="0.3">
      <c r="A189">
        <v>36557</v>
      </c>
      <c r="B189">
        <v>36557</v>
      </c>
      <c r="C189">
        <v>1</v>
      </c>
      <c r="D189" t="s">
        <v>470</v>
      </c>
      <c r="E189" t="s">
        <v>470</v>
      </c>
      <c r="F189" t="s">
        <v>102</v>
      </c>
      <c r="G189" t="s">
        <v>102</v>
      </c>
      <c r="H189" t="s">
        <v>39</v>
      </c>
      <c r="I189" t="s">
        <v>40</v>
      </c>
      <c r="J189" t="s">
        <v>41</v>
      </c>
      <c r="K189">
        <v>0</v>
      </c>
      <c r="L189">
        <v>0</v>
      </c>
      <c r="M189">
        <v>0</v>
      </c>
      <c r="N189">
        <v>0</v>
      </c>
      <c r="O189">
        <v>152.33926136811201</v>
      </c>
      <c r="P189" t="s">
        <v>41</v>
      </c>
      <c r="Q189">
        <v>0</v>
      </c>
      <c r="R189" t="s">
        <v>50</v>
      </c>
      <c r="S189">
        <v>0</v>
      </c>
      <c r="T189" t="s">
        <v>373</v>
      </c>
      <c r="U189" t="s">
        <v>40</v>
      </c>
      <c r="V189" t="s">
        <v>40</v>
      </c>
      <c r="W189" t="s">
        <v>40</v>
      </c>
      <c r="X189" t="s">
        <v>41</v>
      </c>
      <c r="Y189" t="s">
        <v>41</v>
      </c>
      <c r="Z189" t="s">
        <v>43</v>
      </c>
      <c r="AA189">
        <v>213</v>
      </c>
      <c r="AB189" t="s">
        <v>467</v>
      </c>
      <c r="AC189" t="s">
        <v>440</v>
      </c>
      <c r="AD189" t="s">
        <v>440</v>
      </c>
    </row>
    <row r="190" spans="1:30" x14ac:dyDescent="0.3">
      <c r="A190">
        <v>36562</v>
      </c>
      <c r="B190">
        <v>36562</v>
      </c>
      <c r="C190">
        <v>1</v>
      </c>
      <c r="D190" t="s">
        <v>471</v>
      </c>
      <c r="E190" t="s">
        <v>471</v>
      </c>
      <c r="F190" t="s">
        <v>102</v>
      </c>
      <c r="G190" t="s">
        <v>102</v>
      </c>
      <c r="H190" t="s">
        <v>39</v>
      </c>
      <c r="I190" t="s">
        <v>40</v>
      </c>
      <c r="J190" t="s">
        <v>41</v>
      </c>
      <c r="K190">
        <v>0</v>
      </c>
      <c r="L190">
        <v>0</v>
      </c>
      <c r="M190">
        <v>0</v>
      </c>
      <c r="N190">
        <v>0</v>
      </c>
      <c r="O190">
        <v>151.625701132844</v>
      </c>
      <c r="P190" t="s">
        <v>41</v>
      </c>
      <c r="Q190">
        <v>0</v>
      </c>
      <c r="R190" t="s">
        <v>50</v>
      </c>
      <c r="S190">
        <v>0</v>
      </c>
      <c r="T190" t="s">
        <v>373</v>
      </c>
      <c r="U190" t="s">
        <v>40</v>
      </c>
      <c r="V190" t="s">
        <v>40</v>
      </c>
      <c r="W190" t="s">
        <v>40</v>
      </c>
      <c r="X190" t="s">
        <v>41</v>
      </c>
      <c r="Y190" t="s">
        <v>41</v>
      </c>
      <c r="Z190" t="s">
        <v>43</v>
      </c>
      <c r="AA190">
        <v>213</v>
      </c>
      <c r="AB190" t="s">
        <v>467</v>
      </c>
      <c r="AC190" t="s">
        <v>440</v>
      </c>
      <c r="AD190" t="s">
        <v>440</v>
      </c>
    </row>
    <row r="191" spans="1:30" x14ac:dyDescent="0.3">
      <c r="A191">
        <v>36571</v>
      </c>
      <c r="B191">
        <v>36571</v>
      </c>
      <c r="C191">
        <v>1</v>
      </c>
      <c r="D191" t="s">
        <v>472</v>
      </c>
      <c r="E191" t="s">
        <v>472</v>
      </c>
      <c r="F191" t="s">
        <v>102</v>
      </c>
      <c r="G191" t="s">
        <v>102</v>
      </c>
      <c r="H191" t="s">
        <v>39</v>
      </c>
      <c r="I191" t="s">
        <v>40</v>
      </c>
      <c r="J191" t="s">
        <v>41</v>
      </c>
      <c r="K191">
        <v>0</v>
      </c>
      <c r="L191">
        <v>0</v>
      </c>
      <c r="M191">
        <v>0</v>
      </c>
      <c r="N191">
        <v>0</v>
      </c>
      <c r="O191">
        <v>7.1967069672786304</v>
      </c>
      <c r="P191" t="s">
        <v>41</v>
      </c>
      <c r="Q191">
        <v>0</v>
      </c>
      <c r="R191" t="s">
        <v>50</v>
      </c>
      <c r="S191">
        <v>0</v>
      </c>
      <c r="T191" t="s">
        <v>373</v>
      </c>
      <c r="U191" t="s">
        <v>40</v>
      </c>
      <c r="V191" t="s">
        <v>40</v>
      </c>
      <c r="W191" t="s">
        <v>40</v>
      </c>
      <c r="X191" t="s">
        <v>41</v>
      </c>
      <c r="Y191" t="s">
        <v>41</v>
      </c>
      <c r="Z191" t="s">
        <v>43</v>
      </c>
      <c r="AA191">
        <v>213</v>
      </c>
      <c r="AB191" t="s">
        <v>464</v>
      </c>
      <c r="AC191" t="s">
        <v>440</v>
      </c>
      <c r="AD191" t="s">
        <v>440</v>
      </c>
    </row>
    <row r="192" spans="1:30" x14ac:dyDescent="0.3">
      <c r="A192">
        <v>36587</v>
      </c>
      <c r="B192">
        <v>36587</v>
      </c>
      <c r="C192">
        <v>1</v>
      </c>
      <c r="D192" t="s">
        <v>473</v>
      </c>
      <c r="E192" t="s">
        <v>473</v>
      </c>
      <c r="F192" t="s">
        <v>102</v>
      </c>
      <c r="G192" t="s">
        <v>102</v>
      </c>
      <c r="H192" t="s">
        <v>39</v>
      </c>
      <c r="I192" t="s">
        <v>40</v>
      </c>
      <c r="J192" t="s">
        <v>41</v>
      </c>
      <c r="K192">
        <v>0</v>
      </c>
      <c r="L192">
        <v>0</v>
      </c>
      <c r="M192">
        <v>0</v>
      </c>
      <c r="N192">
        <v>0</v>
      </c>
      <c r="O192">
        <v>53.876424531210098</v>
      </c>
      <c r="P192" t="s">
        <v>41</v>
      </c>
      <c r="Q192">
        <v>0</v>
      </c>
      <c r="R192" t="s">
        <v>50</v>
      </c>
      <c r="S192">
        <v>0</v>
      </c>
      <c r="T192" t="s">
        <v>373</v>
      </c>
      <c r="U192" t="s">
        <v>40</v>
      </c>
      <c r="V192" t="s">
        <v>40</v>
      </c>
      <c r="W192" t="s">
        <v>40</v>
      </c>
      <c r="X192" t="s">
        <v>41</v>
      </c>
      <c r="Y192" t="s">
        <v>41</v>
      </c>
      <c r="Z192" t="s">
        <v>43</v>
      </c>
      <c r="AA192">
        <v>213</v>
      </c>
      <c r="AB192" t="s">
        <v>455</v>
      </c>
      <c r="AC192" t="s">
        <v>440</v>
      </c>
      <c r="AD192" t="s">
        <v>440</v>
      </c>
    </row>
    <row r="193" spans="1:30" x14ac:dyDescent="0.3">
      <c r="A193">
        <v>36780</v>
      </c>
      <c r="B193">
        <v>36780</v>
      </c>
      <c r="C193">
        <v>1</v>
      </c>
      <c r="D193" t="s">
        <v>474</v>
      </c>
      <c r="E193" t="s">
        <v>474</v>
      </c>
      <c r="F193" t="s">
        <v>102</v>
      </c>
      <c r="G193" t="s">
        <v>102</v>
      </c>
      <c r="H193" t="s">
        <v>39</v>
      </c>
      <c r="I193" t="s">
        <v>40</v>
      </c>
      <c r="J193" t="s">
        <v>41</v>
      </c>
      <c r="K193">
        <v>0</v>
      </c>
      <c r="L193">
        <v>0</v>
      </c>
      <c r="M193">
        <v>0</v>
      </c>
      <c r="N193">
        <v>0</v>
      </c>
      <c r="O193">
        <v>6.3129387032131801</v>
      </c>
      <c r="P193" t="s">
        <v>41</v>
      </c>
      <c r="Q193">
        <v>0</v>
      </c>
      <c r="R193" t="s">
        <v>50</v>
      </c>
      <c r="S193">
        <v>0</v>
      </c>
      <c r="T193" t="s">
        <v>373</v>
      </c>
      <c r="U193" t="s">
        <v>40</v>
      </c>
      <c r="V193" t="s">
        <v>40</v>
      </c>
      <c r="W193" t="s">
        <v>40</v>
      </c>
      <c r="X193" t="s">
        <v>41</v>
      </c>
      <c r="Y193" t="s">
        <v>41</v>
      </c>
      <c r="Z193" t="s">
        <v>43</v>
      </c>
      <c r="AA193">
        <v>213</v>
      </c>
      <c r="AB193" t="s">
        <v>475</v>
      </c>
      <c r="AC193" t="s">
        <v>440</v>
      </c>
      <c r="AD193" t="s">
        <v>440</v>
      </c>
    </row>
    <row r="194" spans="1:30" x14ac:dyDescent="0.3">
      <c r="A194">
        <v>300687</v>
      </c>
      <c r="B194">
        <v>300687</v>
      </c>
      <c r="C194">
        <v>1</v>
      </c>
      <c r="D194" t="s">
        <v>476</v>
      </c>
      <c r="E194" t="s">
        <v>476</v>
      </c>
      <c r="F194" t="s">
        <v>102</v>
      </c>
      <c r="G194" t="s">
        <v>102</v>
      </c>
      <c r="H194" t="s">
        <v>39</v>
      </c>
      <c r="I194" t="s">
        <v>40</v>
      </c>
      <c r="J194" t="s">
        <v>41</v>
      </c>
      <c r="K194">
        <v>0</v>
      </c>
      <c r="L194">
        <v>0</v>
      </c>
      <c r="M194">
        <v>0</v>
      </c>
      <c r="N194">
        <v>0</v>
      </c>
      <c r="O194">
        <v>13.984738042818201</v>
      </c>
      <c r="P194" t="s">
        <v>41</v>
      </c>
      <c r="Q194">
        <v>0</v>
      </c>
      <c r="R194" t="s">
        <v>50</v>
      </c>
      <c r="S194">
        <v>0</v>
      </c>
      <c r="T194" t="s">
        <v>373</v>
      </c>
      <c r="U194" t="s">
        <v>40</v>
      </c>
      <c r="V194" t="s">
        <v>40</v>
      </c>
      <c r="W194" t="s">
        <v>40</v>
      </c>
      <c r="X194" t="s">
        <v>41</v>
      </c>
      <c r="Y194" t="s">
        <v>41</v>
      </c>
      <c r="Z194" t="s">
        <v>43</v>
      </c>
      <c r="AA194">
        <v>213</v>
      </c>
      <c r="AB194" t="s">
        <v>459</v>
      </c>
      <c r="AC194" t="s">
        <v>440</v>
      </c>
      <c r="AD194" t="s">
        <v>440</v>
      </c>
    </row>
    <row r="195" spans="1:30" x14ac:dyDescent="0.3">
      <c r="A195">
        <v>555547988</v>
      </c>
      <c r="B195">
        <v>555547988</v>
      </c>
      <c r="C195">
        <v>1</v>
      </c>
      <c r="D195" t="s">
        <v>477</v>
      </c>
      <c r="E195" t="s">
        <v>478</v>
      </c>
      <c r="F195" t="s">
        <v>479</v>
      </c>
      <c r="G195" t="s">
        <v>480</v>
      </c>
      <c r="H195" t="s">
        <v>82</v>
      </c>
      <c r="I195" t="s">
        <v>41</v>
      </c>
      <c r="J195" t="s">
        <v>481</v>
      </c>
      <c r="K195">
        <v>0</v>
      </c>
      <c r="L195">
        <v>0</v>
      </c>
      <c r="M195">
        <v>0</v>
      </c>
      <c r="N195">
        <v>7463.09</v>
      </c>
      <c r="O195">
        <v>7599.2983911482297</v>
      </c>
      <c r="P195" t="s">
        <v>41</v>
      </c>
      <c r="Q195">
        <v>0</v>
      </c>
      <c r="R195" t="s">
        <v>482</v>
      </c>
      <c r="S195">
        <v>2012</v>
      </c>
      <c r="T195" t="s">
        <v>40</v>
      </c>
      <c r="U195" t="s">
        <v>40</v>
      </c>
      <c r="V195" t="s">
        <v>40</v>
      </c>
      <c r="W195" t="s">
        <v>40</v>
      </c>
      <c r="X195" t="s">
        <v>41</v>
      </c>
      <c r="Y195" t="s">
        <v>41</v>
      </c>
      <c r="Z195" t="s">
        <v>43</v>
      </c>
      <c r="AA195">
        <v>946</v>
      </c>
      <c r="AB195" t="s">
        <v>40</v>
      </c>
      <c r="AC195" t="s">
        <v>483</v>
      </c>
      <c r="AD195" t="s">
        <v>483</v>
      </c>
    </row>
    <row r="196" spans="1:30" x14ac:dyDescent="0.3">
      <c r="A196">
        <v>300773</v>
      </c>
      <c r="B196">
        <v>300773</v>
      </c>
      <c r="C196">
        <v>1</v>
      </c>
      <c r="D196" t="s">
        <v>484</v>
      </c>
      <c r="E196" t="s">
        <v>484</v>
      </c>
      <c r="F196" t="s">
        <v>55</v>
      </c>
      <c r="G196" t="s">
        <v>55</v>
      </c>
      <c r="H196" t="s">
        <v>39</v>
      </c>
      <c r="I196" t="s">
        <v>40</v>
      </c>
      <c r="J196" t="s">
        <v>41</v>
      </c>
      <c r="K196">
        <v>0</v>
      </c>
      <c r="L196">
        <v>0</v>
      </c>
      <c r="M196">
        <v>0</v>
      </c>
      <c r="N196">
        <v>0</v>
      </c>
      <c r="O196">
        <v>21.943088534441902</v>
      </c>
      <c r="P196" t="s">
        <v>41</v>
      </c>
      <c r="Q196">
        <v>0</v>
      </c>
      <c r="R196" t="s">
        <v>50</v>
      </c>
      <c r="S196">
        <v>0</v>
      </c>
      <c r="T196" t="s">
        <v>40</v>
      </c>
      <c r="U196" t="s">
        <v>40</v>
      </c>
      <c r="V196" t="s">
        <v>40</v>
      </c>
      <c r="W196" t="s">
        <v>40</v>
      </c>
      <c r="X196" t="s">
        <v>41</v>
      </c>
      <c r="Y196" t="s">
        <v>41</v>
      </c>
      <c r="Z196" t="s">
        <v>43</v>
      </c>
      <c r="AA196">
        <v>1826</v>
      </c>
      <c r="AB196" t="s">
        <v>485</v>
      </c>
      <c r="AC196" t="s">
        <v>486</v>
      </c>
      <c r="AD196" t="s">
        <v>486</v>
      </c>
    </row>
    <row r="197" spans="1:30" x14ac:dyDescent="0.3">
      <c r="A197">
        <v>29549</v>
      </c>
      <c r="B197">
        <v>29549</v>
      </c>
      <c r="C197">
        <v>1</v>
      </c>
      <c r="D197" t="s">
        <v>487</v>
      </c>
      <c r="E197" t="s">
        <v>487</v>
      </c>
      <c r="F197" t="s">
        <v>55</v>
      </c>
      <c r="G197" t="s">
        <v>55</v>
      </c>
      <c r="H197" t="s">
        <v>39</v>
      </c>
      <c r="I197" t="s">
        <v>40</v>
      </c>
      <c r="J197" t="s">
        <v>41</v>
      </c>
      <c r="K197">
        <v>0</v>
      </c>
      <c r="L197">
        <v>0</v>
      </c>
      <c r="M197">
        <v>0</v>
      </c>
      <c r="N197">
        <v>133</v>
      </c>
      <c r="O197">
        <v>144.276098723513</v>
      </c>
      <c r="P197" t="s">
        <v>41</v>
      </c>
      <c r="Q197">
        <v>0</v>
      </c>
      <c r="R197" t="s">
        <v>50</v>
      </c>
      <c r="S197">
        <v>0</v>
      </c>
      <c r="T197" t="s">
        <v>40</v>
      </c>
      <c r="U197" t="s">
        <v>40</v>
      </c>
      <c r="V197" t="s">
        <v>40</v>
      </c>
      <c r="W197" t="s">
        <v>40</v>
      </c>
      <c r="X197" t="s">
        <v>41</v>
      </c>
      <c r="Y197" t="s">
        <v>41</v>
      </c>
      <c r="Z197" t="s">
        <v>43</v>
      </c>
      <c r="AA197">
        <v>1826</v>
      </c>
      <c r="AB197" t="s">
        <v>488</v>
      </c>
      <c r="AC197" t="s">
        <v>486</v>
      </c>
      <c r="AD197" t="s">
        <v>486</v>
      </c>
    </row>
    <row r="198" spans="1:30" x14ac:dyDescent="0.3">
      <c r="A198">
        <v>29586</v>
      </c>
      <c r="B198">
        <v>29586</v>
      </c>
      <c r="C198">
        <v>1</v>
      </c>
      <c r="D198" t="s">
        <v>489</v>
      </c>
      <c r="E198" t="s">
        <v>489</v>
      </c>
      <c r="F198" t="s">
        <v>55</v>
      </c>
      <c r="G198" t="s">
        <v>55</v>
      </c>
      <c r="H198" t="s">
        <v>39</v>
      </c>
      <c r="I198" t="s">
        <v>40</v>
      </c>
      <c r="J198" t="s">
        <v>41</v>
      </c>
      <c r="K198">
        <v>0</v>
      </c>
      <c r="L198">
        <v>0</v>
      </c>
      <c r="M198">
        <v>0</v>
      </c>
      <c r="N198">
        <v>235</v>
      </c>
      <c r="O198">
        <v>316.33902718214102</v>
      </c>
      <c r="P198" t="s">
        <v>41</v>
      </c>
      <c r="Q198">
        <v>0</v>
      </c>
      <c r="R198" t="s">
        <v>50</v>
      </c>
      <c r="S198">
        <v>0</v>
      </c>
      <c r="T198" t="s">
        <v>40</v>
      </c>
      <c r="U198" t="s">
        <v>40</v>
      </c>
      <c r="V198" t="s">
        <v>40</v>
      </c>
      <c r="W198" t="s">
        <v>40</v>
      </c>
      <c r="X198" t="s">
        <v>41</v>
      </c>
      <c r="Y198" t="s">
        <v>41</v>
      </c>
      <c r="Z198" t="s">
        <v>43</v>
      </c>
      <c r="AA198">
        <v>1826</v>
      </c>
      <c r="AB198" t="s">
        <v>485</v>
      </c>
      <c r="AC198" t="s">
        <v>486</v>
      </c>
      <c r="AD198" t="s">
        <v>486</v>
      </c>
    </row>
    <row r="199" spans="1:30" x14ac:dyDescent="0.3">
      <c r="A199">
        <v>300756</v>
      </c>
      <c r="B199">
        <v>300756</v>
      </c>
      <c r="C199">
        <v>1</v>
      </c>
      <c r="D199" t="s">
        <v>490</v>
      </c>
      <c r="E199" t="s">
        <v>490</v>
      </c>
      <c r="F199" t="s">
        <v>55</v>
      </c>
      <c r="G199" t="s">
        <v>55</v>
      </c>
      <c r="H199" t="s">
        <v>39</v>
      </c>
      <c r="I199" t="s">
        <v>40</v>
      </c>
      <c r="J199" t="s">
        <v>41</v>
      </c>
      <c r="K199">
        <v>0</v>
      </c>
      <c r="L199">
        <v>0</v>
      </c>
      <c r="M199">
        <v>0</v>
      </c>
      <c r="N199">
        <v>0</v>
      </c>
      <c r="O199">
        <v>28.262717693192101</v>
      </c>
      <c r="P199" t="s">
        <v>41</v>
      </c>
      <c r="Q199">
        <v>0</v>
      </c>
      <c r="R199" t="s">
        <v>50</v>
      </c>
      <c r="S199">
        <v>0</v>
      </c>
      <c r="T199" t="s">
        <v>40</v>
      </c>
      <c r="U199" t="s">
        <v>40</v>
      </c>
      <c r="V199" t="s">
        <v>40</v>
      </c>
      <c r="W199" t="s">
        <v>40</v>
      </c>
      <c r="X199" t="s">
        <v>41</v>
      </c>
      <c r="Y199" t="s">
        <v>41</v>
      </c>
      <c r="Z199" t="s">
        <v>43</v>
      </c>
      <c r="AA199">
        <v>1826</v>
      </c>
      <c r="AB199" t="s">
        <v>485</v>
      </c>
      <c r="AC199" t="s">
        <v>486</v>
      </c>
      <c r="AD199" t="s">
        <v>486</v>
      </c>
    </row>
    <row r="200" spans="1:30" x14ac:dyDescent="0.3">
      <c r="A200">
        <v>300783</v>
      </c>
      <c r="B200">
        <v>300783</v>
      </c>
      <c r="C200">
        <v>1</v>
      </c>
      <c r="D200" t="s">
        <v>491</v>
      </c>
      <c r="E200" t="s">
        <v>491</v>
      </c>
      <c r="F200" t="s">
        <v>55</v>
      </c>
      <c r="G200" t="s">
        <v>55</v>
      </c>
      <c r="H200" t="s">
        <v>39</v>
      </c>
      <c r="I200" t="s">
        <v>40</v>
      </c>
      <c r="J200" t="s">
        <v>41</v>
      </c>
      <c r="K200">
        <v>0</v>
      </c>
      <c r="L200">
        <v>0</v>
      </c>
      <c r="M200">
        <v>0</v>
      </c>
      <c r="N200">
        <v>0</v>
      </c>
      <c r="O200">
        <v>29.5677705942188</v>
      </c>
      <c r="P200" t="s">
        <v>41</v>
      </c>
      <c r="Q200">
        <v>0</v>
      </c>
      <c r="R200" t="s">
        <v>50</v>
      </c>
      <c r="S200">
        <v>0</v>
      </c>
      <c r="T200" t="s">
        <v>40</v>
      </c>
      <c r="U200" t="s">
        <v>40</v>
      </c>
      <c r="V200" t="s">
        <v>40</v>
      </c>
      <c r="W200" t="s">
        <v>40</v>
      </c>
      <c r="X200" t="s">
        <v>41</v>
      </c>
      <c r="Y200" t="s">
        <v>41</v>
      </c>
      <c r="Z200" t="s">
        <v>43</v>
      </c>
      <c r="AA200">
        <v>1826</v>
      </c>
      <c r="AB200" t="s">
        <v>488</v>
      </c>
      <c r="AC200" t="s">
        <v>486</v>
      </c>
      <c r="AD200" t="s">
        <v>486</v>
      </c>
    </row>
    <row r="201" spans="1:30" x14ac:dyDescent="0.3">
      <c r="A201">
        <v>7641</v>
      </c>
      <c r="B201">
        <v>7641</v>
      </c>
      <c r="C201">
        <v>1</v>
      </c>
      <c r="D201" t="s">
        <v>492</v>
      </c>
      <c r="E201" t="s">
        <v>492</v>
      </c>
      <c r="F201" t="s">
        <v>102</v>
      </c>
      <c r="G201" t="s">
        <v>102</v>
      </c>
      <c r="H201" t="s">
        <v>39</v>
      </c>
      <c r="I201" t="s">
        <v>40</v>
      </c>
      <c r="J201" t="s">
        <v>41</v>
      </c>
      <c r="K201">
        <v>0</v>
      </c>
      <c r="L201">
        <v>0</v>
      </c>
      <c r="M201">
        <v>0</v>
      </c>
      <c r="N201">
        <v>7.21</v>
      </c>
      <c r="O201">
        <v>7.1777339445249702</v>
      </c>
      <c r="P201" t="s">
        <v>41</v>
      </c>
      <c r="Q201">
        <v>0</v>
      </c>
      <c r="R201" t="s">
        <v>50</v>
      </c>
      <c r="S201">
        <v>1933</v>
      </c>
      <c r="T201" t="s">
        <v>66</v>
      </c>
      <c r="U201" t="s">
        <v>51</v>
      </c>
      <c r="V201" t="s">
        <v>493</v>
      </c>
      <c r="W201" t="s">
        <v>40</v>
      </c>
      <c r="X201" t="s">
        <v>41</v>
      </c>
      <c r="Y201" t="s">
        <v>41</v>
      </c>
      <c r="Z201" t="s">
        <v>43</v>
      </c>
      <c r="AA201">
        <v>178</v>
      </c>
      <c r="AB201" t="s">
        <v>494</v>
      </c>
      <c r="AC201" t="s">
        <v>87</v>
      </c>
      <c r="AD201" t="s">
        <v>87</v>
      </c>
    </row>
    <row r="202" spans="1:30" x14ac:dyDescent="0.3">
      <c r="A202">
        <v>7647</v>
      </c>
      <c r="B202">
        <v>7647</v>
      </c>
      <c r="C202">
        <v>1</v>
      </c>
      <c r="D202" t="s">
        <v>209</v>
      </c>
      <c r="E202" t="s">
        <v>209</v>
      </c>
      <c r="F202" t="s">
        <v>102</v>
      </c>
      <c r="G202" t="s">
        <v>102</v>
      </c>
      <c r="H202" t="s">
        <v>39</v>
      </c>
      <c r="I202" t="s">
        <v>40</v>
      </c>
      <c r="J202" t="s">
        <v>41</v>
      </c>
      <c r="K202">
        <v>0</v>
      </c>
      <c r="L202">
        <v>0</v>
      </c>
      <c r="M202">
        <v>0</v>
      </c>
      <c r="N202">
        <v>157.78</v>
      </c>
      <c r="O202">
        <v>157.08372116553801</v>
      </c>
      <c r="P202" t="s">
        <v>41</v>
      </c>
      <c r="Q202">
        <v>0</v>
      </c>
      <c r="R202" t="s">
        <v>50</v>
      </c>
      <c r="S202">
        <v>1932</v>
      </c>
      <c r="T202" t="s">
        <v>66</v>
      </c>
      <c r="U202" t="s">
        <v>51</v>
      </c>
      <c r="V202" t="s">
        <v>493</v>
      </c>
      <c r="W202" t="s">
        <v>40</v>
      </c>
      <c r="X202" t="s">
        <v>41</v>
      </c>
      <c r="Y202" t="s">
        <v>41</v>
      </c>
      <c r="Z202" t="s">
        <v>43</v>
      </c>
      <c r="AA202">
        <v>178</v>
      </c>
      <c r="AB202" t="s">
        <v>40</v>
      </c>
      <c r="AC202" t="s">
        <v>87</v>
      </c>
      <c r="AD202" t="s">
        <v>87</v>
      </c>
    </row>
    <row r="203" spans="1:30" x14ac:dyDescent="0.3">
      <c r="A203">
        <v>7725</v>
      </c>
      <c r="B203">
        <v>7725</v>
      </c>
      <c r="C203">
        <v>1</v>
      </c>
      <c r="D203" t="s">
        <v>495</v>
      </c>
      <c r="E203" t="s">
        <v>495</v>
      </c>
      <c r="F203" t="s">
        <v>102</v>
      </c>
      <c r="G203" t="s">
        <v>102</v>
      </c>
      <c r="H203" t="s">
        <v>39</v>
      </c>
      <c r="I203" t="s">
        <v>40</v>
      </c>
      <c r="J203" t="s">
        <v>41</v>
      </c>
      <c r="K203">
        <v>0</v>
      </c>
      <c r="L203">
        <v>0</v>
      </c>
      <c r="M203">
        <v>0</v>
      </c>
      <c r="N203">
        <v>2.95</v>
      </c>
      <c r="O203">
        <v>3.7861668941315698</v>
      </c>
      <c r="P203" t="s">
        <v>41</v>
      </c>
      <c r="Q203">
        <v>0</v>
      </c>
      <c r="R203" t="s">
        <v>50</v>
      </c>
      <c r="S203">
        <v>1950</v>
      </c>
      <c r="T203" t="s">
        <v>66</v>
      </c>
      <c r="U203" t="s">
        <v>51</v>
      </c>
      <c r="V203" t="s">
        <v>493</v>
      </c>
      <c r="W203" t="s">
        <v>40</v>
      </c>
      <c r="X203" t="s">
        <v>41</v>
      </c>
      <c r="Y203" t="s">
        <v>41</v>
      </c>
      <c r="Z203" t="s">
        <v>43</v>
      </c>
      <c r="AA203">
        <v>178</v>
      </c>
      <c r="AB203" t="s">
        <v>496</v>
      </c>
      <c r="AC203" t="s">
        <v>87</v>
      </c>
      <c r="AD203" t="s">
        <v>87</v>
      </c>
    </row>
    <row r="204" spans="1:30" x14ac:dyDescent="0.3">
      <c r="A204">
        <v>7734</v>
      </c>
      <c r="B204">
        <v>7734</v>
      </c>
      <c r="C204">
        <v>1</v>
      </c>
      <c r="D204" t="s">
        <v>497</v>
      </c>
      <c r="E204" t="s">
        <v>497</v>
      </c>
      <c r="F204" t="s">
        <v>102</v>
      </c>
      <c r="G204" t="s">
        <v>102</v>
      </c>
      <c r="H204" t="s">
        <v>39</v>
      </c>
      <c r="I204" t="s">
        <v>40</v>
      </c>
      <c r="J204" t="s">
        <v>41</v>
      </c>
      <c r="K204">
        <v>0</v>
      </c>
      <c r="L204">
        <v>0</v>
      </c>
      <c r="M204">
        <v>0</v>
      </c>
      <c r="N204">
        <v>108.14</v>
      </c>
      <c r="O204">
        <v>107.661416163189</v>
      </c>
      <c r="P204" t="s">
        <v>41</v>
      </c>
      <c r="Q204">
        <v>0</v>
      </c>
      <c r="R204" t="s">
        <v>50</v>
      </c>
      <c r="S204">
        <v>1968</v>
      </c>
      <c r="T204" t="s">
        <v>66</v>
      </c>
      <c r="U204" t="s">
        <v>51</v>
      </c>
      <c r="V204" t="s">
        <v>493</v>
      </c>
      <c r="W204" t="s">
        <v>40</v>
      </c>
      <c r="X204" t="s">
        <v>41</v>
      </c>
      <c r="Y204" t="s">
        <v>41</v>
      </c>
      <c r="Z204" t="s">
        <v>43</v>
      </c>
      <c r="AA204">
        <v>178</v>
      </c>
      <c r="AB204" t="s">
        <v>40</v>
      </c>
      <c r="AC204" t="s">
        <v>87</v>
      </c>
      <c r="AD204" t="s">
        <v>87</v>
      </c>
    </row>
    <row r="205" spans="1:30" x14ac:dyDescent="0.3">
      <c r="A205">
        <v>7693</v>
      </c>
      <c r="B205">
        <v>7693</v>
      </c>
      <c r="C205">
        <v>1</v>
      </c>
      <c r="D205" t="s">
        <v>498</v>
      </c>
      <c r="E205" t="s">
        <v>498</v>
      </c>
      <c r="F205" t="s">
        <v>102</v>
      </c>
      <c r="G205" t="s">
        <v>102</v>
      </c>
      <c r="H205" t="s">
        <v>39</v>
      </c>
      <c r="I205" t="s">
        <v>40</v>
      </c>
      <c r="J205" t="s">
        <v>41</v>
      </c>
      <c r="K205">
        <v>0</v>
      </c>
      <c r="L205">
        <v>0</v>
      </c>
      <c r="M205">
        <v>0</v>
      </c>
      <c r="N205">
        <v>262.85000000000002</v>
      </c>
      <c r="O205">
        <v>261.69327710263701</v>
      </c>
      <c r="P205" t="s">
        <v>41</v>
      </c>
      <c r="Q205">
        <v>0</v>
      </c>
      <c r="R205" t="s">
        <v>50</v>
      </c>
      <c r="S205">
        <v>1932</v>
      </c>
      <c r="T205" t="s">
        <v>66</v>
      </c>
      <c r="U205" t="s">
        <v>51</v>
      </c>
      <c r="V205" t="s">
        <v>493</v>
      </c>
      <c r="W205" t="s">
        <v>40</v>
      </c>
      <c r="X205" t="s">
        <v>41</v>
      </c>
      <c r="Y205" t="s">
        <v>41</v>
      </c>
      <c r="Z205" t="s">
        <v>43</v>
      </c>
      <c r="AA205">
        <v>178</v>
      </c>
      <c r="AB205" t="s">
        <v>40</v>
      </c>
      <c r="AC205" t="s">
        <v>87</v>
      </c>
      <c r="AD205" t="s">
        <v>87</v>
      </c>
    </row>
    <row r="206" spans="1:30" x14ac:dyDescent="0.3">
      <c r="A206">
        <v>7727</v>
      </c>
      <c r="B206">
        <v>7727</v>
      </c>
      <c r="C206">
        <v>1</v>
      </c>
      <c r="D206" t="s">
        <v>499</v>
      </c>
      <c r="E206" t="s">
        <v>499</v>
      </c>
      <c r="F206" t="s">
        <v>102</v>
      </c>
      <c r="G206" t="s">
        <v>102</v>
      </c>
      <c r="H206" t="s">
        <v>39</v>
      </c>
      <c r="I206" t="s">
        <v>40</v>
      </c>
      <c r="J206" t="s">
        <v>41</v>
      </c>
      <c r="K206">
        <v>0</v>
      </c>
      <c r="L206">
        <v>0</v>
      </c>
      <c r="M206">
        <v>0</v>
      </c>
      <c r="N206">
        <v>281.67</v>
      </c>
      <c r="O206">
        <v>280.42999575862098</v>
      </c>
      <c r="P206" t="s">
        <v>41</v>
      </c>
      <c r="Q206">
        <v>0</v>
      </c>
      <c r="R206" t="s">
        <v>50</v>
      </c>
      <c r="S206">
        <v>1932</v>
      </c>
      <c r="T206" t="s">
        <v>66</v>
      </c>
      <c r="U206" t="s">
        <v>51</v>
      </c>
      <c r="V206" t="s">
        <v>493</v>
      </c>
      <c r="W206" t="s">
        <v>40</v>
      </c>
      <c r="X206" t="s">
        <v>41</v>
      </c>
      <c r="Y206" t="s">
        <v>41</v>
      </c>
      <c r="Z206" t="s">
        <v>43</v>
      </c>
      <c r="AA206">
        <v>178</v>
      </c>
      <c r="AB206" t="s">
        <v>40</v>
      </c>
      <c r="AC206" t="s">
        <v>87</v>
      </c>
      <c r="AD206" t="s">
        <v>87</v>
      </c>
    </row>
    <row r="207" spans="1:30" x14ac:dyDescent="0.3">
      <c r="A207">
        <v>7732</v>
      </c>
      <c r="B207">
        <v>7732</v>
      </c>
      <c r="C207">
        <v>1</v>
      </c>
      <c r="D207" t="s">
        <v>500</v>
      </c>
      <c r="E207" t="s">
        <v>500</v>
      </c>
      <c r="F207" t="s">
        <v>102</v>
      </c>
      <c r="G207" t="s">
        <v>102</v>
      </c>
      <c r="H207" t="s">
        <v>39</v>
      </c>
      <c r="I207" t="s">
        <v>40</v>
      </c>
      <c r="J207" t="s">
        <v>41</v>
      </c>
      <c r="K207">
        <v>0</v>
      </c>
      <c r="L207">
        <v>0</v>
      </c>
      <c r="M207">
        <v>0</v>
      </c>
      <c r="N207">
        <v>5.77</v>
      </c>
      <c r="O207">
        <v>5.7484650906989403</v>
      </c>
      <c r="P207" t="s">
        <v>41</v>
      </c>
      <c r="Q207">
        <v>0</v>
      </c>
      <c r="R207" t="s">
        <v>50</v>
      </c>
      <c r="S207">
        <v>1961</v>
      </c>
      <c r="T207" t="s">
        <v>66</v>
      </c>
      <c r="U207" t="s">
        <v>51</v>
      </c>
      <c r="V207" t="s">
        <v>493</v>
      </c>
      <c r="W207" t="s">
        <v>40</v>
      </c>
      <c r="X207" t="s">
        <v>41</v>
      </c>
      <c r="Y207" t="s">
        <v>41</v>
      </c>
      <c r="Z207" t="s">
        <v>43</v>
      </c>
      <c r="AA207">
        <v>178</v>
      </c>
      <c r="AB207" t="s">
        <v>97</v>
      </c>
      <c r="AC207" t="s">
        <v>87</v>
      </c>
      <c r="AD207" t="s">
        <v>87</v>
      </c>
    </row>
    <row r="208" spans="1:30" x14ac:dyDescent="0.3">
      <c r="A208">
        <v>7611</v>
      </c>
      <c r="B208">
        <v>7611</v>
      </c>
      <c r="C208">
        <v>1</v>
      </c>
      <c r="D208" t="s">
        <v>501</v>
      </c>
      <c r="E208" t="s">
        <v>501</v>
      </c>
      <c r="F208" t="s">
        <v>102</v>
      </c>
      <c r="G208" t="s">
        <v>102</v>
      </c>
      <c r="H208" t="s">
        <v>39</v>
      </c>
      <c r="I208" t="s">
        <v>40</v>
      </c>
      <c r="J208" t="s">
        <v>41</v>
      </c>
      <c r="K208">
        <v>0</v>
      </c>
      <c r="L208">
        <v>0</v>
      </c>
      <c r="M208">
        <v>0</v>
      </c>
      <c r="N208">
        <v>67.5</v>
      </c>
      <c r="O208">
        <v>88.670688020160199</v>
      </c>
      <c r="P208" t="s">
        <v>41</v>
      </c>
      <c r="Q208">
        <v>0</v>
      </c>
      <c r="R208" t="s">
        <v>50</v>
      </c>
      <c r="S208">
        <v>1961</v>
      </c>
      <c r="T208" t="s">
        <v>66</v>
      </c>
      <c r="U208" t="s">
        <v>51</v>
      </c>
      <c r="V208" t="s">
        <v>493</v>
      </c>
      <c r="W208" t="s">
        <v>40</v>
      </c>
      <c r="X208" t="s">
        <v>41</v>
      </c>
      <c r="Y208" t="s">
        <v>41</v>
      </c>
      <c r="Z208" t="s">
        <v>43</v>
      </c>
      <c r="AA208">
        <v>178</v>
      </c>
      <c r="AB208" t="s">
        <v>97</v>
      </c>
      <c r="AC208" t="s">
        <v>87</v>
      </c>
      <c r="AD208" t="s">
        <v>87</v>
      </c>
    </row>
    <row r="209" spans="1:30" x14ac:dyDescent="0.3">
      <c r="A209">
        <v>32999</v>
      </c>
      <c r="B209">
        <v>32999</v>
      </c>
      <c r="C209">
        <v>1</v>
      </c>
      <c r="D209" t="s">
        <v>502</v>
      </c>
      <c r="E209" t="s">
        <v>502</v>
      </c>
      <c r="F209" t="s">
        <v>55</v>
      </c>
      <c r="G209" t="s">
        <v>55</v>
      </c>
      <c r="H209" t="s">
        <v>39</v>
      </c>
      <c r="I209" t="s">
        <v>40</v>
      </c>
      <c r="J209" t="s">
        <v>41</v>
      </c>
      <c r="K209">
        <v>0</v>
      </c>
      <c r="L209">
        <v>0</v>
      </c>
      <c r="M209">
        <v>0</v>
      </c>
      <c r="N209">
        <v>12.3699999999999</v>
      </c>
      <c r="O209">
        <v>11.7288304276553</v>
      </c>
      <c r="P209" t="s">
        <v>41</v>
      </c>
      <c r="Q209">
        <v>0</v>
      </c>
      <c r="R209" t="s">
        <v>50</v>
      </c>
      <c r="S209">
        <v>1942</v>
      </c>
      <c r="T209" t="s">
        <v>40</v>
      </c>
      <c r="U209" t="s">
        <v>51</v>
      </c>
      <c r="V209" t="s">
        <v>40</v>
      </c>
      <c r="W209" t="s">
        <v>40</v>
      </c>
      <c r="X209" t="s">
        <v>41</v>
      </c>
      <c r="Y209" t="s">
        <v>41</v>
      </c>
      <c r="Z209" t="s">
        <v>43</v>
      </c>
      <c r="AA209">
        <v>6</v>
      </c>
      <c r="AB209" t="s">
        <v>503</v>
      </c>
      <c r="AC209" t="s">
        <v>53</v>
      </c>
      <c r="AD209" t="s">
        <v>53</v>
      </c>
    </row>
    <row r="210" spans="1:30" x14ac:dyDescent="0.3">
      <c r="A210">
        <v>29398</v>
      </c>
      <c r="B210">
        <v>29398</v>
      </c>
      <c r="C210">
        <v>1</v>
      </c>
      <c r="D210" t="s">
        <v>504</v>
      </c>
      <c r="E210" t="s">
        <v>504</v>
      </c>
      <c r="F210" t="s">
        <v>55</v>
      </c>
      <c r="G210" t="s">
        <v>55</v>
      </c>
      <c r="H210" t="s">
        <v>39</v>
      </c>
      <c r="I210" t="s">
        <v>40</v>
      </c>
      <c r="J210" t="s">
        <v>41</v>
      </c>
      <c r="K210">
        <v>0</v>
      </c>
      <c r="L210">
        <v>0</v>
      </c>
      <c r="M210">
        <v>0</v>
      </c>
      <c r="N210">
        <v>5.68</v>
      </c>
      <c r="O210">
        <v>59.969438589457198</v>
      </c>
      <c r="P210" t="s">
        <v>41</v>
      </c>
      <c r="Q210">
        <v>0</v>
      </c>
      <c r="R210" t="s">
        <v>50</v>
      </c>
      <c r="S210">
        <v>1945</v>
      </c>
      <c r="T210" t="s">
        <v>40</v>
      </c>
      <c r="U210" t="s">
        <v>40</v>
      </c>
      <c r="V210" t="s">
        <v>40</v>
      </c>
      <c r="W210" t="s">
        <v>40</v>
      </c>
      <c r="X210" t="s">
        <v>41</v>
      </c>
      <c r="Y210" t="s">
        <v>41</v>
      </c>
      <c r="Z210" t="s">
        <v>43</v>
      </c>
      <c r="AA210">
        <v>73</v>
      </c>
      <c r="AB210" t="s">
        <v>505</v>
      </c>
      <c r="AC210" t="s">
        <v>506</v>
      </c>
      <c r="AD210" t="s">
        <v>506</v>
      </c>
    </row>
    <row r="211" spans="1:30" x14ac:dyDescent="0.3">
      <c r="A211">
        <v>352696</v>
      </c>
      <c r="B211">
        <v>352696</v>
      </c>
      <c r="C211">
        <v>1</v>
      </c>
      <c r="D211" t="s">
        <v>507</v>
      </c>
      <c r="E211" t="s">
        <v>507</v>
      </c>
      <c r="F211" t="s">
        <v>102</v>
      </c>
      <c r="G211" t="s">
        <v>102</v>
      </c>
      <c r="H211" t="s">
        <v>39</v>
      </c>
      <c r="I211" t="s">
        <v>40</v>
      </c>
      <c r="J211" t="s">
        <v>41</v>
      </c>
      <c r="K211">
        <v>0</v>
      </c>
      <c r="L211">
        <v>0</v>
      </c>
      <c r="M211">
        <v>0</v>
      </c>
      <c r="N211">
        <v>24.91</v>
      </c>
      <c r="O211">
        <v>24.762328069632002</v>
      </c>
      <c r="P211" t="s">
        <v>41</v>
      </c>
      <c r="Q211">
        <v>0</v>
      </c>
      <c r="R211" t="s">
        <v>50</v>
      </c>
      <c r="S211">
        <v>0</v>
      </c>
      <c r="T211" t="s">
        <v>66</v>
      </c>
      <c r="U211" t="s">
        <v>51</v>
      </c>
      <c r="V211" t="s">
        <v>40</v>
      </c>
      <c r="W211" t="s">
        <v>40</v>
      </c>
      <c r="X211" t="s">
        <v>41</v>
      </c>
      <c r="Y211" t="s">
        <v>41</v>
      </c>
      <c r="Z211" t="s">
        <v>40</v>
      </c>
      <c r="AA211">
        <v>711</v>
      </c>
      <c r="AB211" t="s">
        <v>508</v>
      </c>
      <c r="AC211" t="s">
        <v>104</v>
      </c>
      <c r="AD211" t="s">
        <v>104</v>
      </c>
    </row>
    <row r="212" spans="1:30" x14ac:dyDescent="0.3">
      <c r="A212">
        <v>352697</v>
      </c>
      <c r="B212">
        <v>352697</v>
      </c>
      <c r="C212">
        <v>1</v>
      </c>
      <c r="D212" t="s">
        <v>509</v>
      </c>
      <c r="E212" t="s">
        <v>509</v>
      </c>
      <c r="F212" t="s">
        <v>102</v>
      </c>
      <c r="G212" t="s">
        <v>102</v>
      </c>
      <c r="H212" t="s">
        <v>39</v>
      </c>
      <c r="I212" t="s">
        <v>40</v>
      </c>
      <c r="J212" t="s">
        <v>41</v>
      </c>
      <c r="K212">
        <v>0</v>
      </c>
      <c r="L212">
        <v>0</v>
      </c>
      <c r="M212">
        <v>0</v>
      </c>
      <c r="N212">
        <v>5.42</v>
      </c>
      <c r="O212">
        <v>5.3874637726309604</v>
      </c>
      <c r="P212" t="s">
        <v>41</v>
      </c>
      <c r="Q212">
        <v>0</v>
      </c>
      <c r="R212" t="s">
        <v>50</v>
      </c>
      <c r="S212">
        <v>0</v>
      </c>
      <c r="T212" t="s">
        <v>66</v>
      </c>
      <c r="U212" t="s">
        <v>51</v>
      </c>
      <c r="V212" t="s">
        <v>40</v>
      </c>
      <c r="W212" t="s">
        <v>40</v>
      </c>
      <c r="X212" t="s">
        <v>41</v>
      </c>
      <c r="Y212" t="s">
        <v>41</v>
      </c>
      <c r="Z212" t="s">
        <v>40</v>
      </c>
      <c r="AA212">
        <v>711</v>
      </c>
      <c r="AB212" t="s">
        <v>508</v>
      </c>
      <c r="AC212" t="s">
        <v>104</v>
      </c>
      <c r="AD212" t="s">
        <v>104</v>
      </c>
    </row>
    <row r="213" spans="1:30" x14ac:dyDescent="0.3">
      <c r="A213">
        <v>103549</v>
      </c>
      <c r="B213">
        <v>103549</v>
      </c>
      <c r="C213">
        <v>1</v>
      </c>
      <c r="D213" t="s">
        <v>510</v>
      </c>
      <c r="E213" t="s">
        <v>510</v>
      </c>
      <c r="F213" t="s">
        <v>116</v>
      </c>
      <c r="G213" t="s">
        <v>116</v>
      </c>
      <c r="H213" t="s">
        <v>82</v>
      </c>
      <c r="I213" t="s">
        <v>40</v>
      </c>
      <c r="J213" t="s">
        <v>511</v>
      </c>
      <c r="K213">
        <v>0</v>
      </c>
      <c r="L213">
        <v>0</v>
      </c>
      <c r="M213">
        <v>0</v>
      </c>
      <c r="N213">
        <v>300</v>
      </c>
      <c r="O213">
        <v>287.64970715317901</v>
      </c>
      <c r="P213" t="s">
        <v>41</v>
      </c>
      <c r="Q213">
        <v>0</v>
      </c>
      <c r="R213" t="s">
        <v>50</v>
      </c>
      <c r="S213">
        <v>1995</v>
      </c>
      <c r="T213" t="s">
        <v>40</v>
      </c>
      <c r="U213" t="s">
        <v>40</v>
      </c>
      <c r="V213" t="s">
        <v>40</v>
      </c>
      <c r="W213" t="s">
        <v>512</v>
      </c>
      <c r="X213" t="s">
        <v>41</v>
      </c>
      <c r="Y213" t="s">
        <v>41</v>
      </c>
      <c r="Z213" t="s">
        <v>43</v>
      </c>
      <c r="AA213">
        <v>1856</v>
      </c>
      <c r="AB213" t="s">
        <v>97</v>
      </c>
      <c r="AC213" t="s">
        <v>87</v>
      </c>
      <c r="AD213" t="s">
        <v>87</v>
      </c>
    </row>
    <row r="214" spans="1:30" x14ac:dyDescent="0.3">
      <c r="A214">
        <v>555555498</v>
      </c>
      <c r="B214">
        <v>555555498</v>
      </c>
      <c r="C214">
        <v>1</v>
      </c>
      <c r="D214" t="s">
        <v>513</v>
      </c>
      <c r="E214" t="s">
        <v>513</v>
      </c>
      <c r="F214" t="s">
        <v>84</v>
      </c>
      <c r="G214" t="s">
        <v>84</v>
      </c>
      <c r="H214" t="s">
        <v>39</v>
      </c>
      <c r="I214" t="s">
        <v>40</v>
      </c>
      <c r="J214" t="s">
        <v>41</v>
      </c>
      <c r="K214">
        <v>0</v>
      </c>
      <c r="L214">
        <v>0</v>
      </c>
      <c r="M214">
        <v>0</v>
      </c>
      <c r="N214">
        <v>3393.3557460000002</v>
      </c>
      <c r="O214">
        <v>3394.5606421357402</v>
      </c>
      <c r="P214" t="s">
        <v>41</v>
      </c>
      <c r="Q214">
        <v>0</v>
      </c>
      <c r="R214" t="s">
        <v>40</v>
      </c>
      <c r="S214">
        <v>2001</v>
      </c>
      <c r="T214" t="s">
        <v>85</v>
      </c>
      <c r="U214" t="s">
        <v>40</v>
      </c>
      <c r="V214" t="s">
        <v>86</v>
      </c>
      <c r="W214" t="s">
        <v>40</v>
      </c>
      <c r="X214" t="s">
        <v>41</v>
      </c>
      <c r="Y214" t="s">
        <v>41</v>
      </c>
      <c r="Z214" t="s">
        <v>40</v>
      </c>
      <c r="AA214">
        <v>1775</v>
      </c>
      <c r="AB214" t="s">
        <v>40</v>
      </c>
      <c r="AC214" t="s">
        <v>87</v>
      </c>
      <c r="AD214" t="s">
        <v>87</v>
      </c>
    </row>
    <row r="215" spans="1:30" x14ac:dyDescent="0.3">
      <c r="A215">
        <v>555555496</v>
      </c>
      <c r="B215">
        <v>555555496</v>
      </c>
      <c r="C215">
        <v>1</v>
      </c>
      <c r="D215" t="s">
        <v>514</v>
      </c>
      <c r="E215" t="s">
        <v>514</v>
      </c>
      <c r="F215" t="s">
        <v>84</v>
      </c>
      <c r="G215" t="s">
        <v>84</v>
      </c>
      <c r="H215" t="s">
        <v>39</v>
      </c>
      <c r="I215" t="s">
        <v>40</v>
      </c>
      <c r="J215" t="s">
        <v>41</v>
      </c>
      <c r="K215">
        <v>0</v>
      </c>
      <c r="L215">
        <v>0</v>
      </c>
      <c r="M215">
        <v>0</v>
      </c>
      <c r="N215">
        <v>496.73744799999901</v>
      </c>
      <c r="O215">
        <v>496.797922395802</v>
      </c>
      <c r="P215" t="s">
        <v>41</v>
      </c>
      <c r="Q215">
        <v>0</v>
      </c>
      <c r="R215" t="s">
        <v>40</v>
      </c>
      <c r="S215">
        <v>2002</v>
      </c>
      <c r="T215" t="s">
        <v>85</v>
      </c>
      <c r="U215" t="s">
        <v>40</v>
      </c>
      <c r="V215" t="s">
        <v>86</v>
      </c>
      <c r="W215" t="s">
        <v>40</v>
      </c>
      <c r="X215" t="s">
        <v>41</v>
      </c>
      <c r="Y215" t="s">
        <v>41</v>
      </c>
      <c r="Z215" t="s">
        <v>40</v>
      </c>
      <c r="AA215">
        <v>1775</v>
      </c>
      <c r="AB215" t="s">
        <v>40</v>
      </c>
      <c r="AC215" t="s">
        <v>87</v>
      </c>
      <c r="AD215" t="s">
        <v>87</v>
      </c>
    </row>
    <row r="216" spans="1:30" x14ac:dyDescent="0.3">
      <c r="A216">
        <v>555555519</v>
      </c>
      <c r="B216">
        <v>555555519</v>
      </c>
      <c r="C216">
        <v>1</v>
      </c>
      <c r="D216" t="s">
        <v>515</v>
      </c>
      <c r="E216" t="s">
        <v>515</v>
      </c>
      <c r="F216" t="s">
        <v>84</v>
      </c>
      <c r="G216" t="s">
        <v>84</v>
      </c>
      <c r="H216" t="s">
        <v>39</v>
      </c>
      <c r="I216" t="s">
        <v>40</v>
      </c>
      <c r="J216" t="s">
        <v>41</v>
      </c>
      <c r="K216">
        <v>0</v>
      </c>
      <c r="L216">
        <v>0</v>
      </c>
      <c r="M216">
        <v>0</v>
      </c>
      <c r="N216">
        <v>719.92306399999904</v>
      </c>
      <c r="O216">
        <v>720.25755451049497</v>
      </c>
      <c r="P216" t="s">
        <v>41</v>
      </c>
      <c r="Q216">
        <v>0</v>
      </c>
      <c r="R216" t="s">
        <v>40</v>
      </c>
      <c r="S216">
        <v>2010</v>
      </c>
      <c r="T216" t="s">
        <v>85</v>
      </c>
      <c r="U216" t="s">
        <v>40</v>
      </c>
      <c r="V216" t="s">
        <v>86</v>
      </c>
      <c r="W216" t="s">
        <v>40</v>
      </c>
      <c r="X216" t="s">
        <v>41</v>
      </c>
      <c r="Y216" t="s">
        <v>41</v>
      </c>
      <c r="Z216" t="s">
        <v>40</v>
      </c>
      <c r="AA216">
        <v>1775</v>
      </c>
      <c r="AB216" t="s">
        <v>40</v>
      </c>
      <c r="AC216" t="s">
        <v>87</v>
      </c>
      <c r="AD216" t="s">
        <v>87</v>
      </c>
    </row>
    <row r="217" spans="1:30" x14ac:dyDescent="0.3">
      <c r="A217">
        <v>555555523</v>
      </c>
      <c r="B217">
        <v>555555523</v>
      </c>
      <c r="C217">
        <v>1</v>
      </c>
      <c r="D217" t="s">
        <v>516</v>
      </c>
      <c r="E217" t="s">
        <v>516</v>
      </c>
      <c r="F217" t="s">
        <v>84</v>
      </c>
      <c r="G217" t="s">
        <v>84</v>
      </c>
      <c r="H217" t="s">
        <v>39</v>
      </c>
      <c r="I217" t="s">
        <v>40</v>
      </c>
      <c r="J217" t="s">
        <v>41</v>
      </c>
      <c r="K217">
        <v>0</v>
      </c>
      <c r="L217">
        <v>0</v>
      </c>
      <c r="M217">
        <v>0</v>
      </c>
      <c r="N217">
        <v>1155</v>
      </c>
      <c r="O217">
        <v>1164.4155729835099</v>
      </c>
      <c r="P217" t="s">
        <v>41</v>
      </c>
      <c r="Q217">
        <v>0</v>
      </c>
      <c r="R217" t="s">
        <v>40</v>
      </c>
      <c r="S217">
        <v>2010</v>
      </c>
      <c r="T217" t="s">
        <v>85</v>
      </c>
      <c r="U217" t="s">
        <v>40</v>
      </c>
      <c r="V217" t="s">
        <v>86</v>
      </c>
      <c r="W217" t="s">
        <v>40</v>
      </c>
      <c r="X217" t="s">
        <v>41</v>
      </c>
      <c r="Y217" t="s">
        <v>41</v>
      </c>
      <c r="Z217" t="s">
        <v>40</v>
      </c>
      <c r="AA217">
        <v>1775</v>
      </c>
      <c r="AB217" t="s">
        <v>40</v>
      </c>
      <c r="AC217" t="s">
        <v>87</v>
      </c>
      <c r="AD217" t="s">
        <v>87</v>
      </c>
    </row>
    <row r="218" spans="1:30" x14ac:dyDescent="0.3">
      <c r="A218">
        <v>555555511</v>
      </c>
      <c r="B218">
        <v>555555511</v>
      </c>
      <c r="C218">
        <v>1</v>
      </c>
      <c r="D218" t="s">
        <v>517</v>
      </c>
      <c r="E218" t="s">
        <v>517</v>
      </c>
      <c r="F218" t="s">
        <v>84</v>
      </c>
      <c r="G218" t="s">
        <v>84</v>
      </c>
      <c r="H218" t="s">
        <v>39</v>
      </c>
      <c r="I218" t="s">
        <v>40</v>
      </c>
      <c r="J218" t="s">
        <v>41</v>
      </c>
      <c r="K218">
        <v>0</v>
      </c>
      <c r="L218">
        <v>0</v>
      </c>
      <c r="M218">
        <v>0</v>
      </c>
      <c r="N218">
        <v>362.52508699999902</v>
      </c>
      <c r="O218">
        <v>362.51210522053401</v>
      </c>
      <c r="P218" t="s">
        <v>41</v>
      </c>
      <c r="Q218">
        <v>0</v>
      </c>
      <c r="R218" t="s">
        <v>40</v>
      </c>
      <c r="S218">
        <v>2004</v>
      </c>
      <c r="T218" t="s">
        <v>85</v>
      </c>
      <c r="U218" t="s">
        <v>40</v>
      </c>
      <c r="V218" t="s">
        <v>86</v>
      </c>
      <c r="W218" t="s">
        <v>40</v>
      </c>
      <c r="X218" t="s">
        <v>41</v>
      </c>
      <c r="Y218" t="s">
        <v>41</v>
      </c>
      <c r="Z218" t="s">
        <v>40</v>
      </c>
      <c r="AA218">
        <v>1775</v>
      </c>
      <c r="AB218" t="s">
        <v>40</v>
      </c>
      <c r="AC218" t="s">
        <v>87</v>
      </c>
      <c r="AD218" t="s">
        <v>87</v>
      </c>
    </row>
    <row r="219" spans="1:30" x14ac:dyDescent="0.3">
      <c r="A219">
        <v>555555490</v>
      </c>
      <c r="B219">
        <v>555555490</v>
      </c>
      <c r="C219">
        <v>1</v>
      </c>
      <c r="D219" t="s">
        <v>518</v>
      </c>
      <c r="E219" t="s">
        <v>518</v>
      </c>
      <c r="F219" t="s">
        <v>99</v>
      </c>
      <c r="G219" t="s">
        <v>99</v>
      </c>
      <c r="H219" t="s">
        <v>39</v>
      </c>
      <c r="I219" t="s">
        <v>40</v>
      </c>
      <c r="J219" t="s">
        <v>41</v>
      </c>
      <c r="K219">
        <v>0</v>
      </c>
      <c r="L219">
        <v>0</v>
      </c>
      <c r="M219">
        <v>0</v>
      </c>
      <c r="N219">
        <v>222.599999999999</v>
      </c>
      <c r="O219">
        <v>162.679946791448</v>
      </c>
      <c r="P219" t="s">
        <v>41</v>
      </c>
      <c r="Q219">
        <v>0</v>
      </c>
      <c r="R219" t="s">
        <v>50</v>
      </c>
      <c r="S219">
        <v>1995</v>
      </c>
      <c r="T219" t="s">
        <v>96</v>
      </c>
      <c r="U219" t="s">
        <v>40</v>
      </c>
      <c r="V219" t="s">
        <v>40</v>
      </c>
      <c r="W219" t="s">
        <v>40</v>
      </c>
      <c r="X219" t="s">
        <v>41</v>
      </c>
      <c r="Y219" t="s">
        <v>41</v>
      </c>
      <c r="Z219" t="s">
        <v>40</v>
      </c>
      <c r="AA219">
        <v>1714</v>
      </c>
      <c r="AB219" t="s">
        <v>40</v>
      </c>
      <c r="AC219" t="s">
        <v>87</v>
      </c>
      <c r="AD219" t="s">
        <v>87</v>
      </c>
    </row>
    <row r="220" spans="1:30" x14ac:dyDescent="0.3">
      <c r="A220">
        <v>17726</v>
      </c>
      <c r="B220">
        <v>17726</v>
      </c>
      <c r="C220">
        <v>1</v>
      </c>
      <c r="D220" t="s">
        <v>519</v>
      </c>
      <c r="E220" t="s">
        <v>519</v>
      </c>
      <c r="F220" t="s">
        <v>116</v>
      </c>
      <c r="G220" t="s">
        <v>116</v>
      </c>
      <c r="H220" t="s">
        <v>82</v>
      </c>
      <c r="I220" t="s">
        <v>40</v>
      </c>
      <c r="J220" t="s">
        <v>117</v>
      </c>
      <c r="K220">
        <v>1</v>
      </c>
      <c r="L220">
        <v>6000</v>
      </c>
      <c r="M220">
        <v>6376.4922809274403</v>
      </c>
      <c r="N220">
        <v>12000</v>
      </c>
      <c r="O220">
        <v>11866.2989833253</v>
      </c>
      <c r="P220" t="s">
        <v>40</v>
      </c>
      <c r="Q220">
        <v>0</v>
      </c>
      <c r="R220" t="s">
        <v>50</v>
      </c>
      <c r="S220">
        <v>1982</v>
      </c>
      <c r="T220" t="s">
        <v>40</v>
      </c>
      <c r="U220" t="s">
        <v>40</v>
      </c>
      <c r="V220" t="s">
        <v>40</v>
      </c>
      <c r="W220" t="s">
        <v>40</v>
      </c>
      <c r="X220" t="s">
        <v>41</v>
      </c>
      <c r="Y220" t="s">
        <v>41</v>
      </c>
      <c r="Z220" t="s">
        <v>43</v>
      </c>
      <c r="AA220">
        <v>1856</v>
      </c>
      <c r="AB220" t="s">
        <v>40</v>
      </c>
      <c r="AC220" t="s">
        <v>520</v>
      </c>
      <c r="AD220" t="s">
        <v>520</v>
      </c>
    </row>
    <row r="221" spans="1:30" x14ac:dyDescent="0.3">
      <c r="A221">
        <v>797</v>
      </c>
      <c r="B221">
        <v>797</v>
      </c>
      <c r="C221">
        <v>1</v>
      </c>
      <c r="D221" t="s">
        <v>521</v>
      </c>
      <c r="E221" t="s">
        <v>521</v>
      </c>
      <c r="F221" t="s">
        <v>123</v>
      </c>
      <c r="G221" t="s">
        <v>123</v>
      </c>
      <c r="H221" t="s">
        <v>39</v>
      </c>
      <c r="I221" t="s">
        <v>124</v>
      </c>
      <c r="J221" t="s">
        <v>41</v>
      </c>
      <c r="K221">
        <v>1</v>
      </c>
      <c r="L221">
        <v>6245</v>
      </c>
      <c r="M221">
        <v>6377.51509319052</v>
      </c>
      <c r="N221">
        <v>12075</v>
      </c>
      <c r="O221">
        <v>11875.5752451709</v>
      </c>
      <c r="P221" t="s">
        <v>40</v>
      </c>
      <c r="Q221">
        <v>0</v>
      </c>
      <c r="R221" t="s">
        <v>50</v>
      </c>
      <c r="S221">
        <v>1978</v>
      </c>
      <c r="T221" t="s">
        <v>40</v>
      </c>
      <c r="U221" t="s">
        <v>40</v>
      </c>
      <c r="V221" t="s">
        <v>40</v>
      </c>
      <c r="W221" t="s">
        <v>40</v>
      </c>
      <c r="X221" t="s">
        <v>41</v>
      </c>
      <c r="Y221" t="s">
        <v>41</v>
      </c>
      <c r="Z221" t="s">
        <v>43</v>
      </c>
      <c r="AA221">
        <v>72</v>
      </c>
      <c r="AB221" t="s">
        <v>40</v>
      </c>
      <c r="AC221" t="s">
        <v>520</v>
      </c>
      <c r="AD221" t="s">
        <v>520</v>
      </c>
    </row>
    <row r="222" spans="1:30" x14ac:dyDescent="0.3">
      <c r="A222">
        <v>3044</v>
      </c>
      <c r="B222">
        <v>3044</v>
      </c>
      <c r="C222">
        <v>1</v>
      </c>
      <c r="D222" t="s">
        <v>522</v>
      </c>
      <c r="E222" t="s">
        <v>522</v>
      </c>
      <c r="F222" t="s">
        <v>81</v>
      </c>
      <c r="G222" t="s">
        <v>81</v>
      </c>
      <c r="H222" t="s">
        <v>82</v>
      </c>
      <c r="I222" t="s">
        <v>41</v>
      </c>
      <c r="J222" t="s">
        <v>41</v>
      </c>
      <c r="K222">
        <v>1</v>
      </c>
      <c r="L222">
        <v>0</v>
      </c>
      <c r="M222">
        <v>1185.8367217514401</v>
      </c>
      <c r="N222">
        <v>1800</v>
      </c>
      <c r="O222">
        <v>3187.28226725693</v>
      </c>
      <c r="P222" t="s">
        <v>40</v>
      </c>
      <c r="Q222">
        <v>0</v>
      </c>
      <c r="R222" t="s">
        <v>50</v>
      </c>
      <c r="S222">
        <v>1980</v>
      </c>
      <c r="T222" t="s">
        <v>40</v>
      </c>
      <c r="U222" t="s">
        <v>40</v>
      </c>
      <c r="V222" t="s">
        <v>40</v>
      </c>
      <c r="W222" t="s">
        <v>40</v>
      </c>
      <c r="X222" t="s">
        <v>41</v>
      </c>
      <c r="Y222" t="s">
        <v>41</v>
      </c>
      <c r="Z222" t="s">
        <v>43</v>
      </c>
      <c r="AA222">
        <v>988</v>
      </c>
      <c r="AB222" t="s">
        <v>508</v>
      </c>
      <c r="AC222" t="s">
        <v>104</v>
      </c>
      <c r="AD222" t="s">
        <v>104</v>
      </c>
    </row>
    <row r="223" spans="1:30" x14ac:dyDescent="0.3">
      <c r="A223">
        <v>352608</v>
      </c>
      <c r="B223">
        <v>352608</v>
      </c>
      <c r="C223">
        <v>1</v>
      </c>
      <c r="D223" t="s">
        <v>523</v>
      </c>
      <c r="E223" t="s">
        <v>523</v>
      </c>
      <c r="F223" t="s">
        <v>102</v>
      </c>
      <c r="G223" t="s">
        <v>102</v>
      </c>
      <c r="H223" t="s">
        <v>39</v>
      </c>
      <c r="I223" t="s">
        <v>40</v>
      </c>
      <c r="J223" t="s">
        <v>41</v>
      </c>
      <c r="K223">
        <v>0</v>
      </c>
      <c r="L223">
        <v>0</v>
      </c>
      <c r="M223">
        <v>0</v>
      </c>
      <c r="N223">
        <v>38.979999999999897</v>
      </c>
      <c r="O223">
        <v>38.756739469465003</v>
      </c>
      <c r="P223" t="s">
        <v>41</v>
      </c>
      <c r="Q223">
        <v>0</v>
      </c>
      <c r="R223" t="s">
        <v>50</v>
      </c>
      <c r="S223">
        <v>0</v>
      </c>
      <c r="T223" t="s">
        <v>66</v>
      </c>
      <c r="U223" t="s">
        <v>51</v>
      </c>
      <c r="V223" t="s">
        <v>40</v>
      </c>
      <c r="W223" t="s">
        <v>40</v>
      </c>
      <c r="X223" t="s">
        <v>41</v>
      </c>
      <c r="Y223" t="s">
        <v>41</v>
      </c>
      <c r="Z223" t="s">
        <v>40</v>
      </c>
      <c r="AA223">
        <v>711</v>
      </c>
      <c r="AB223" t="s">
        <v>524</v>
      </c>
      <c r="AC223" t="s">
        <v>104</v>
      </c>
      <c r="AD223" t="s">
        <v>104</v>
      </c>
    </row>
    <row r="224" spans="1:30" x14ac:dyDescent="0.3">
      <c r="A224">
        <v>68153</v>
      </c>
      <c r="B224">
        <v>68153</v>
      </c>
      <c r="C224">
        <v>1</v>
      </c>
      <c r="D224" t="s">
        <v>522</v>
      </c>
      <c r="E224" t="s">
        <v>522</v>
      </c>
      <c r="F224" t="s">
        <v>116</v>
      </c>
      <c r="G224" t="s">
        <v>116</v>
      </c>
      <c r="H224" t="s">
        <v>82</v>
      </c>
      <c r="I224" t="s">
        <v>40</v>
      </c>
      <c r="J224" t="s">
        <v>192</v>
      </c>
      <c r="K224">
        <v>1</v>
      </c>
      <c r="L224">
        <v>0</v>
      </c>
      <c r="M224">
        <v>1185.8367217514401</v>
      </c>
      <c r="N224">
        <v>730</v>
      </c>
      <c r="O224">
        <v>3187.28226725693</v>
      </c>
      <c r="P224" t="s">
        <v>40</v>
      </c>
      <c r="Q224">
        <v>0</v>
      </c>
      <c r="R224" t="s">
        <v>50</v>
      </c>
      <c r="S224">
        <v>1984</v>
      </c>
      <c r="T224" t="s">
        <v>40</v>
      </c>
      <c r="U224" t="s">
        <v>40</v>
      </c>
      <c r="V224" t="s">
        <v>40</v>
      </c>
      <c r="W224" t="s">
        <v>512</v>
      </c>
      <c r="X224" t="s">
        <v>41</v>
      </c>
      <c r="Y224" t="s">
        <v>41</v>
      </c>
      <c r="Z224" t="s">
        <v>43</v>
      </c>
      <c r="AA224">
        <v>1856</v>
      </c>
      <c r="AB224" t="s">
        <v>508</v>
      </c>
      <c r="AC224" t="s">
        <v>104</v>
      </c>
      <c r="AD224" t="s">
        <v>104</v>
      </c>
    </row>
    <row r="225" spans="1:30" x14ac:dyDescent="0.3">
      <c r="A225">
        <v>68154</v>
      </c>
      <c r="B225">
        <v>68154</v>
      </c>
      <c r="C225">
        <v>1</v>
      </c>
      <c r="D225" t="s">
        <v>525</v>
      </c>
      <c r="E225" t="s">
        <v>525</v>
      </c>
      <c r="F225" t="s">
        <v>116</v>
      </c>
      <c r="G225" t="s">
        <v>116</v>
      </c>
      <c r="H225" t="s">
        <v>82</v>
      </c>
      <c r="I225" t="s">
        <v>40</v>
      </c>
      <c r="J225" t="s">
        <v>189</v>
      </c>
      <c r="K225">
        <v>0</v>
      </c>
      <c r="L225">
        <v>0</v>
      </c>
      <c r="M225">
        <v>0</v>
      </c>
      <c r="N225">
        <v>7.2</v>
      </c>
      <c r="O225">
        <v>7.4420765433551601</v>
      </c>
      <c r="P225" t="s">
        <v>41</v>
      </c>
      <c r="Q225">
        <v>0</v>
      </c>
      <c r="R225" t="s">
        <v>50</v>
      </c>
      <c r="S225">
        <v>1986</v>
      </c>
      <c r="T225" t="s">
        <v>40</v>
      </c>
      <c r="U225" t="s">
        <v>40</v>
      </c>
      <c r="V225" t="s">
        <v>40</v>
      </c>
      <c r="W225" t="s">
        <v>243</v>
      </c>
      <c r="X225" t="s">
        <v>41</v>
      </c>
      <c r="Y225" t="s">
        <v>41</v>
      </c>
      <c r="Z225" t="s">
        <v>43</v>
      </c>
      <c r="AA225">
        <v>1856</v>
      </c>
      <c r="AB225" t="s">
        <v>524</v>
      </c>
      <c r="AC225" t="s">
        <v>104</v>
      </c>
      <c r="AD225" t="s">
        <v>104</v>
      </c>
    </row>
    <row r="226" spans="1:30" x14ac:dyDescent="0.3">
      <c r="A226">
        <v>352626</v>
      </c>
      <c r="B226">
        <v>352626</v>
      </c>
      <c r="C226">
        <v>1</v>
      </c>
      <c r="D226" t="s">
        <v>526</v>
      </c>
      <c r="E226" t="s">
        <v>526</v>
      </c>
      <c r="F226" t="s">
        <v>102</v>
      </c>
      <c r="G226" t="s">
        <v>102</v>
      </c>
      <c r="H226" t="s">
        <v>39</v>
      </c>
      <c r="I226" t="s">
        <v>40</v>
      </c>
      <c r="J226" t="s">
        <v>41</v>
      </c>
      <c r="K226">
        <v>0</v>
      </c>
      <c r="L226">
        <v>0</v>
      </c>
      <c r="M226">
        <v>0</v>
      </c>
      <c r="N226">
        <v>89.5</v>
      </c>
      <c r="O226">
        <v>88.983890598308093</v>
      </c>
      <c r="P226" t="s">
        <v>41</v>
      </c>
      <c r="Q226">
        <v>0</v>
      </c>
      <c r="R226" t="s">
        <v>50</v>
      </c>
      <c r="S226">
        <v>0</v>
      </c>
      <c r="T226" t="s">
        <v>66</v>
      </c>
      <c r="U226" t="s">
        <v>51</v>
      </c>
      <c r="V226" t="s">
        <v>40</v>
      </c>
      <c r="W226" t="s">
        <v>40</v>
      </c>
      <c r="X226" t="s">
        <v>41</v>
      </c>
      <c r="Y226" t="s">
        <v>41</v>
      </c>
      <c r="Z226" t="s">
        <v>40</v>
      </c>
      <c r="AA226">
        <v>711</v>
      </c>
      <c r="AB226" t="s">
        <v>527</v>
      </c>
      <c r="AC226" t="s">
        <v>104</v>
      </c>
      <c r="AD226" t="s">
        <v>104</v>
      </c>
    </row>
    <row r="227" spans="1:30" x14ac:dyDescent="0.3">
      <c r="A227">
        <v>352632</v>
      </c>
      <c r="B227">
        <v>352632</v>
      </c>
      <c r="C227">
        <v>1</v>
      </c>
      <c r="D227" t="s">
        <v>528</v>
      </c>
      <c r="E227" t="s">
        <v>528</v>
      </c>
      <c r="F227" t="s">
        <v>102</v>
      </c>
      <c r="G227" t="s">
        <v>102</v>
      </c>
      <c r="H227" t="s">
        <v>39</v>
      </c>
      <c r="I227" t="s">
        <v>40</v>
      </c>
      <c r="J227" t="s">
        <v>41</v>
      </c>
      <c r="K227">
        <v>0</v>
      </c>
      <c r="L227">
        <v>0</v>
      </c>
      <c r="M227">
        <v>0</v>
      </c>
      <c r="N227">
        <v>105.159999999999</v>
      </c>
      <c r="O227">
        <v>104.554067624612</v>
      </c>
      <c r="P227" t="s">
        <v>41</v>
      </c>
      <c r="Q227">
        <v>0</v>
      </c>
      <c r="R227" t="s">
        <v>50</v>
      </c>
      <c r="S227">
        <v>0</v>
      </c>
      <c r="T227" t="s">
        <v>66</v>
      </c>
      <c r="U227" t="s">
        <v>51</v>
      </c>
      <c r="V227" t="s">
        <v>40</v>
      </c>
      <c r="W227" t="s">
        <v>40</v>
      </c>
      <c r="X227" t="s">
        <v>41</v>
      </c>
      <c r="Y227" t="s">
        <v>41</v>
      </c>
      <c r="Z227" t="s">
        <v>40</v>
      </c>
      <c r="AA227">
        <v>711</v>
      </c>
      <c r="AB227" t="s">
        <v>527</v>
      </c>
      <c r="AC227" t="s">
        <v>104</v>
      </c>
      <c r="AD227" t="s">
        <v>104</v>
      </c>
    </row>
    <row r="228" spans="1:30" x14ac:dyDescent="0.3">
      <c r="A228">
        <v>352637</v>
      </c>
      <c r="B228">
        <v>352637</v>
      </c>
      <c r="C228">
        <v>1</v>
      </c>
      <c r="D228" t="s">
        <v>529</v>
      </c>
      <c r="E228" t="s">
        <v>529</v>
      </c>
      <c r="F228" t="s">
        <v>102</v>
      </c>
      <c r="G228" t="s">
        <v>102</v>
      </c>
      <c r="H228" t="s">
        <v>39</v>
      </c>
      <c r="I228" t="s">
        <v>40</v>
      </c>
      <c r="J228" t="s">
        <v>41</v>
      </c>
      <c r="K228">
        <v>0</v>
      </c>
      <c r="L228">
        <v>0</v>
      </c>
      <c r="M228">
        <v>0</v>
      </c>
      <c r="N228">
        <v>67.03</v>
      </c>
      <c r="O228">
        <v>66.639966447693396</v>
      </c>
      <c r="P228" t="s">
        <v>41</v>
      </c>
      <c r="Q228">
        <v>0</v>
      </c>
      <c r="R228" t="s">
        <v>50</v>
      </c>
      <c r="S228">
        <v>0</v>
      </c>
      <c r="T228" t="s">
        <v>66</v>
      </c>
      <c r="U228" t="s">
        <v>51</v>
      </c>
      <c r="V228" t="s">
        <v>40</v>
      </c>
      <c r="W228" t="s">
        <v>40</v>
      </c>
      <c r="X228" t="s">
        <v>41</v>
      </c>
      <c r="Y228" t="s">
        <v>41</v>
      </c>
      <c r="Z228" t="s">
        <v>40</v>
      </c>
      <c r="AA228">
        <v>711</v>
      </c>
      <c r="AB228" t="s">
        <v>109</v>
      </c>
      <c r="AC228" t="s">
        <v>104</v>
      </c>
      <c r="AD228" t="s">
        <v>104</v>
      </c>
    </row>
    <row r="229" spans="1:30" x14ac:dyDescent="0.3">
      <c r="A229">
        <v>352643</v>
      </c>
      <c r="B229">
        <v>352643</v>
      </c>
      <c r="C229">
        <v>1</v>
      </c>
      <c r="D229" t="s">
        <v>530</v>
      </c>
      <c r="E229" t="s">
        <v>530</v>
      </c>
      <c r="F229" t="s">
        <v>102</v>
      </c>
      <c r="G229" t="s">
        <v>102</v>
      </c>
      <c r="H229" t="s">
        <v>39</v>
      </c>
      <c r="I229" t="s">
        <v>40</v>
      </c>
      <c r="J229" t="s">
        <v>41</v>
      </c>
      <c r="K229">
        <v>0</v>
      </c>
      <c r="L229">
        <v>0</v>
      </c>
      <c r="M229">
        <v>0</v>
      </c>
      <c r="N229">
        <v>22.82</v>
      </c>
      <c r="O229">
        <v>22.683005825958599</v>
      </c>
      <c r="P229" t="s">
        <v>41</v>
      </c>
      <c r="Q229">
        <v>0</v>
      </c>
      <c r="R229" t="s">
        <v>50</v>
      </c>
      <c r="S229">
        <v>0</v>
      </c>
      <c r="T229" t="s">
        <v>66</v>
      </c>
      <c r="U229" t="s">
        <v>51</v>
      </c>
      <c r="V229" t="s">
        <v>40</v>
      </c>
      <c r="W229" t="s">
        <v>40</v>
      </c>
      <c r="X229" t="s">
        <v>41</v>
      </c>
      <c r="Y229" t="s">
        <v>41</v>
      </c>
      <c r="Z229" t="s">
        <v>40</v>
      </c>
      <c r="AA229">
        <v>711</v>
      </c>
      <c r="AB229" t="s">
        <v>109</v>
      </c>
      <c r="AC229" t="s">
        <v>104</v>
      </c>
      <c r="AD229" t="s">
        <v>104</v>
      </c>
    </row>
    <row r="230" spans="1:30" x14ac:dyDescent="0.3">
      <c r="A230">
        <v>352684</v>
      </c>
      <c r="B230">
        <v>352684</v>
      </c>
      <c r="C230">
        <v>1</v>
      </c>
      <c r="D230" t="s">
        <v>531</v>
      </c>
      <c r="E230" t="s">
        <v>531</v>
      </c>
      <c r="F230" t="s">
        <v>102</v>
      </c>
      <c r="G230" t="s">
        <v>102</v>
      </c>
      <c r="H230" t="s">
        <v>39</v>
      </c>
      <c r="I230" t="s">
        <v>40</v>
      </c>
      <c r="J230" t="s">
        <v>41</v>
      </c>
      <c r="K230">
        <v>0</v>
      </c>
      <c r="L230">
        <v>0</v>
      </c>
      <c r="M230">
        <v>0</v>
      </c>
      <c r="N230">
        <v>48.119999999999898</v>
      </c>
      <c r="O230">
        <v>47.831195004950601</v>
      </c>
      <c r="P230" t="s">
        <v>41</v>
      </c>
      <c r="Q230">
        <v>0</v>
      </c>
      <c r="R230" t="s">
        <v>50</v>
      </c>
      <c r="S230">
        <v>0</v>
      </c>
      <c r="T230" t="s">
        <v>66</v>
      </c>
      <c r="U230" t="s">
        <v>51</v>
      </c>
      <c r="V230" t="s">
        <v>40</v>
      </c>
      <c r="W230" t="s">
        <v>40</v>
      </c>
      <c r="X230" t="s">
        <v>41</v>
      </c>
      <c r="Y230" t="s">
        <v>41</v>
      </c>
      <c r="Z230" t="s">
        <v>40</v>
      </c>
      <c r="AA230">
        <v>711</v>
      </c>
      <c r="AB230" t="s">
        <v>532</v>
      </c>
      <c r="AC230" t="s">
        <v>104</v>
      </c>
      <c r="AD230" t="s">
        <v>104</v>
      </c>
    </row>
    <row r="231" spans="1:30" x14ac:dyDescent="0.3">
      <c r="A231">
        <v>26751</v>
      </c>
      <c r="B231">
        <v>26751</v>
      </c>
      <c r="C231">
        <v>1</v>
      </c>
      <c r="D231" t="s">
        <v>533</v>
      </c>
      <c r="E231" t="s">
        <v>533</v>
      </c>
      <c r="F231" t="s">
        <v>102</v>
      </c>
      <c r="G231" t="s">
        <v>102</v>
      </c>
      <c r="H231" t="s">
        <v>39</v>
      </c>
      <c r="I231" t="s">
        <v>40</v>
      </c>
      <c r="J231" t="s">
        <v>41</v>
      </c>
      <c r="K231">
        <v>0</v>
      </c>
      <c r="L231">
        <v>0</v>
      </c>
      <c r="M231">
        <v>0</v>
      </c>
      <c r="N231">
        <v>11.0299999999999</v>
      </c>
      <c r="O231">
        <v>8.7949388012167304</v>
      </c>
      <c r="P231" t="s">
        <v>41</v>
      </c>
      <c r="Q231">
        <v>0</v>
      </c>
      <c r="R231" t="s">
        <v>50</v>
      </c>
      <c r="S231">
        <v>1964</v>
      </c>
      <c r="T231" t="s">
        <v>40</v>
      </c>
      <c r="U231" t="s">
        <v>40</v>
      </c>
      <c r="V231" t="s">
        <v>40</v>
      </c>
      <c r="W231" t="s">
        <v>40</v>
      </c>
      <c r="X231" t="s">
        <v>41</v>
      </c>
      <c r="Y231" t="s">
        <v>41</v>
      </c>
      <c r="Z231" t="s">
        <v>43</v>
      </c>
      <c r="AA231">
        <v>290</v>
      </c>
      <c r="AB231" t="s">
        <v>534</v>
      </c>
      <c r="AC231" t="s">
        <v>535</v>
      </c>
      <c r="AD231" t="s">
        <v>535</v>
      </c>
    </row>
    <row r="232" spans="1:30" x14ac:dyDescent="0.3">
      <c r="A232">
        <v>68242</v>
      </c>
      <c r="B232">
        <v>68242</v>
      </c>
      <c r="C232">
        <v>1</v>
      </c>
      <c r="D232" t="s">
        <v>536</v>
      </c>
      <c r="E232" t="s">
        <v>536</v>
      </c>
      <c r="F232" t="s">
        <v>116</v>
      </c>
      <c r="G232" t="s">
        <v>116</v>
      </c>
      <c r="H232" t="s">
        <v>82</v>
      </c>
      <c r="I232" t="s">
        <v>40</v>
      </c>
      <c r="J232" t="s">
        <v>40</v>
      </c>
      <c r="K232">
        <v>0</v>
      </c>
      <c r="L232">
        <v>0</v>
      </c>
      <c r="M232">
        <v>0</v>
      </c>
      <c r="N232">
        <v>150</v>
      </c>
      <c r="O232">
        <v>576.82786108314997</v>
      </c>
      <c r="P232" t="s">
        <v>41</v>
      </c>
      <c r="Q232">
        <v>0</v>
      </c>
      <c r="R232" t="s">
        <v>50</v>
      </c>
      <c r="S232">
        <v>1988</v>
      </c>
      <c r="T232" t="s">
        <v>40</v>
      </c>
      <c r="U232" t="s">
        <v>40</v>
      </c>
      <c r="V232" t="s">
        <v>40</v>
      </c>
      <c r="W232" t="s">
        <v>243</v>
      </c>
      <c r="X232" t="s">
        <v>41</v>
      </c>
      <c r="Y232" t="s">
        <v>41</v>
      </c>
      <c r="Z232" t="s">
        <v>43</v>
      </c>
      <c r="AA232">
        <v>1856</v>
      </c>
      <c r="AB232" t="s">
        <v>537</v>
      </c>
      <c r="AC232" t="s">
        <v>142</v>
      </c>
      <c r="AD232" t="s">
        <v>142</v>
      </c>
    </row>
    <row r="233" spans="1:30" x14ac:dyDescent="0.3">
      <c r="A233">
        <v>902982</v>
      </c>
      <c r="B233">
        <v>902982</v>
      </c>
      <c r="C233">
        <v>1</v>
      </c>
      <c r="D233" t="s">
        <v>538</v>
      </c>
      <c r="E233" t="s">
        <v>538</v>
      </c>
      <c r="F233" t="s">
        <v>116</v>
      </c>
      <c r="G233" t="s">
        <v>116</v>
      </c>
      <c r="H233" t="s">
        <v>82</v>
      </c>
      <c r="I233" t="s">
        <v>40</v>
      </c>
      <c r="J233" t="s">
        <v>539</v>
      </c>
      <c r="K233">
        <v>0</v>
      </c>
      <c r="L233">
        <v>0</v>
      </c>
      <c r="M233">
        <v>0</v>
      </c>
      <c r="N233">
        <v>24.239999999999899</v>
      </c>
      <c r="O233">
        <v>134.378167363388</v>
      </c>
      <c r="P233" t="s">
        <v>41</v>
      </c>
      <c r="Q233">
        <v>0</v>
      </c>
      <c r="R233" t="s">
        <v>50</v>
      </c>
      <c r="S233">
        <v>2006</v>
      </c>
      <c r="T233" t="s">
        <v>263</v>
      </c>
      <c r="U233" t="s">
        <v>40</v>
      </c>
      <c r="V233" t="s">
        <v>540</v>
      </c>
      <c r="W233" t="s">
        <v>243</v>
      </c>
      <c r="X233" t="s">
        <v>41</v>
      </c>
      <c r="Y233" t="s">
        <v>41</v>
      </c>
      <c r="Z233" t="s">
        <v>43</v>
      </c>
      <c r="AA233">
        <v>1856</v>
      </c>
      <c r="AB233" t="s">
        <v>541</v>
      </c>
      <c r="AC233" t="s">
        <v>142</v>
      </c>
      <c r="AD233" t="s">
        <v>142</v>
      </c>
    </row>
    <row r="234" spans="1:30" x14ac:dyDescent="0.3">
      <c r="A234">
        <v>39981</v>
      </c>
      <c r="B234">
        <v>39981</v>
      </c>
      <c r="C234">
        <v>1</v>
      </c>
      <c r="D234" t="s">
        <v>542</v>
      </c>
      <c r="E234" t="s">
        <v>542</v>
      </c>
      <c r="F234" t="s">
        <v>102</v>
      </c>
      <c r="G234" t="s">
        <v>102</v>
      </c>
      <c r="H234" t="s">
        <v>39</v>
      </c>
      <c r="I234" t="s">
        <v>40</v>
      </c>
      <c r="J234" t="s">
        <v>41</v>
      </c>
      <c r="K234">
        <v>0</v>
      </c>
      <c r="L234">
        <v>0</v>
      </c>
      <c r="M234">
        <v>0</v>
      </c>
      <c r="N234">
        <v>15.3257999999999</v>
      </c>
      <c r="O234">
        <v>15.3216940999567</v>
      </c>
      <c r="P234" t="s">
        <v>41</v>
      </c>
      <c r="Q234">
        <v>0</v>
      </c>
      <c r="R234" t="s">
        <v>50</v>
      </c>
      <c r="S234">
        <v>1932</v>
      </c>
      <c r="T234" t="s">
        <v>66</v>
      </c>
      <c r="U234" t="s">
        <v>40</v>
      </c>
      <c r="V234" t="s">
        <v>40</v>
      </c>
      <c r="W234" t="s">
        <v>40</v>
      </c>
      <c r="X234" t="s">
        <v>41</v>
      </c>
      <c r="Y234" t="s">
        <v>41</v>
      </c>
      <c r="Z234" t="s">
        <v>43</v>
      </c>
      <c r="AA234">
        <v>1708</v>
      </c>
      <c r="AB234" t="s">
        <v>40</v>
      </c>
      <c r="AC234" t="s">
        <v>142</v>
      </c>
      <c r="AD234" t="s">
        <v>142</v>
      </c>
    </row>
    <row r="235" spans="1:30" x14ac:dyDescent="0.3">
      <c r="A235">
        <v>40052</v>
      </c>
      <c r="B235">
        <v>40052</v>
      </c>
      <c r="C235">
        <v>1</v>
      </c>
      <c r="D235" t="s">
        <v>543</v>
      </c>
      <c r="E235" t="s">
        <v>543</v>
      </c>
      <c r="F235" t="s">
        <v>102</v>
      </c>
      <c r="G235" t="s">
        <v>102</v>
      </c>
      <c r="H235" t="s">
        <v>39</v>
      </c>
      <c r="I235" t="s">
        <v>40</v>
      </c>
      <c r="J235" t="s">
        <v>41</v>
      </c>
      <c r="K235">
        <v>0</v>
      </c>
      <c r="L235">
        <v>0</v>
      </c>
      <c r="M235">
        <v>0</v>
      </c>
      <c r="N235">
        <v>91.689400000000006</v>
      </c>
      <c r="O235">
        <v>91.691080871215405</v>
      </c>
      <c r="P235" t="s">
        <v>41</v>
      </c>
      <c r="Q235">
        <v>0</v>
      </c>
      <c r="R235" t="s">
        <v>50</v>
      </c>
      <c r="S235">
        <v>1965</v>
      </c>
      <c r="T235" t="s">
        <v>66</v>
      </c>
      <c r="U235" t="s">
        <v>40</v>
      </c>
      <c r="V235" t="s">
        <v>40</v>
      </c>
      <c r="W235" t="s">
        <v>40</v>
      </c>
      <c r="X235" t="s">
        <v>41</v>
      </c>
      <c r="Y235" t="s">
        <v>41</v>
      </c>
      <c r="Z235" t="s">
        <v>43</v>
      </c>
      <c r="AA235">
        <v>1708</v>
      </c>
      <c r="AB235" t="s">
        <v>40</v>
      </c>
      <c r="AC235" t="s">
        <v>142</v>
      </c>
      <c r="AD235" t="s">
        <v>142</v>
      </c>
    </row>
    <row r="236" spans="1:30" x14ac:dyDescent="0.3">
      <c r="A236">
        <v>34805</v>
      </c>
      <c r="B236">
        <v>34805</v>
      </c>
      <c r="C236">
        <v>1</v>
      </c>
      <c r="D236" t="s">
        <v>544</v>
      </c>
      <c r="E236" t="s">
        <v>544</v>
      </c>
      <c r="F236" t="s">
        <v>102</v>
      </c>
      <c r="G236" t="s">
        <v>102</v>
      </c>
      <c r="H236" t="s">
        <v>39</v>
      </c>
      <c r="I236" t="s">
        <v>40</v>
      </c>
      <c r="J236" t="s">
        <v>41</v>
      </c>
      <c r="K236">
        <v>0</v>
      </c>
      <c r="L236">
        <v>0</v>
      </c>
      <c r="M236">
        <v>0</v>
      </c>
      <c r="N236">
        <v>399.7321</v>
      </c>
      <c r="O236">
        <v>399.73715252594502</v>
      </c>
      <c r="P236" t="s">
        <v>41</v>
      </c>
      <c r="Q236">
        <v>0</v>
      </c>
      <c r="R236" t="s">
        <v>50</v>
      </c>
      <c r="S236">
        <v>1932</v>
      </c>
      <c r="T236" t="s">
        <v>66</v>
      </c>
      <c r="U236" t="s">
        <v>40</v>
      </c>
      <c r="V236" t="s">
        <v>40</v>
      </c>
      <c r="W236" t="s">
        <v>40</v>
      </c>
      <c r="X236" t="s">
        <v>41</v>
      </c>
      <c r="Y236" t="s">
        <v>41</v>
      </c>
      <c r="Z236" t="s">
        <v>43</v>
      </c>
      <c r="AA236">
        <v>1708</v>
      </c>
      <c r="AB236" t="s">
        <v>40</v>
      </c>
      <c r="AC236" t="s">
        <v>142</v>
      </c>
      <c r="AD236" t="s">
        <v>142</v>
      </c>
    </row>
    <row r="237" spans="1:30" x14ac:dyDescent="0.3">
      <c r="A237">
        <v>555549367</v>
      </c>
      <c r="B237">
        <v>555549367</v>
      </c>
      <c r="C237">
        <v>1</v>
      </c>
      <c r="D237" t="s">
        <v>545</v>
      </c>
      <c r="E237" t="s">
        <v>545</v>
      </c>
      <c r="F237" t="s">
        <v>102</v>
      </c>
      <c r="G237" t="s">
        <v>102</v>
      </c>
      <c r="H237" t="s">
        <v>39</v>
      </c>
      <c r="I237" t="s">
        <v>40</v>
      </c>
      <c r="J237" t="s">
        <v>41</v>
      </c>
      <c r="K237">
        <v>0</v>
      </c>
      <c r="L237">
        <v>0</v>
      </c>
      <c r="M237">
        <v>0</v>
      </c>
      <c r="N237">
        <v>35.2866</v>
      </c>
      <c r="O237">
        <v>35.2863446598016</v>
      </c>
      <c r="P237" t="s">
        <v>41</v>
      </c>
      <c r="Q237">
        <v>0</v>
      </c>
      <c r="R237" t="s">
        <v>50</v>
      </c>
      <c r="S237">
        <v>1948</v>
      </c>
      <c r="T237" t="s">
        <v>66</v>
      </c>
      <c r="U237" t="s">
        <v>40</v>
      </c>
      <c r="V237" t="s">
        <v>40</v>
      </c>
      <c r="W237" t="s">
        <v>40</v>
      </c>
      <c r="X237" t="s">
        <v>41</v>
      </c>
      <c r="Y237" t="s">
        <v>41</v>
      </c>
      <c r="Z237" t="s">
        <v>43</v>
      </c>
      <c r="AA237">
        <v>1708</v>
      </c>
      <c r="AB237" t="s">
        <v>40</v>
      </c>
      <c r="AC237" t="s">
        <v>142</v>
      </c>
      <c r="AD237" t="s">
        <v>142</v>
      </c>
    </row>
    <row r="238" spans="1:30" x14ac:dyDescent="0.3">
      <c r="A238">
        <v>40332</v>
      </c>
      <c r="B238">
        <v>40332</v>
      </c>
      <c r="C238">
        <v>1</v>
      </c>
      <c r="D238" t="s">
        <v>546</v>
      </c>
      <c r="E238" t="s">
        <v>546</v>
      </c>
      <c r="F238" t="s">
        <v>102</v>
      </c>
      <c r="G238" t="s">
        <v>102</v>
      </c>
      <c r="H238" t="s">
        <v>39</v>
      </c>
      <c r="I238" t="s">
        <v>40</v>
      </c>
      <c r="J238" t="s">
        <v>41</v>
      </c>
      <c r="K238">
        <v>0</v>
      </c>
      <c r="L238">
        <v>0</v>
      </c>
      <c r="M238">
        <v>0</v>
      </c>
      <c r="N238">
        <v>4.3258999999999999</v>
      </c>
      <c r="O238">
        <v>4.3240246604117996</v>
      </c>
      <c r="P238" t="s">
        <v>41</v>
      </c>
      <c r="Q238">
        <v>0</v>
      </c>
      <c r="R238" t="s">
        <v>50</v>
      </c>
      <c r="S238">
        <v>1948</v>
      </c>
      <c r="T238" t="s">
        <v>66</v>
      </c>
      <c r="U238" t="s">
        <v>40</v>
      </c>
      <c r="V238" t="s">
        <v>40</v>
      </c>
      <c r="W238" t="s">
        <v>40</v>
      </c>
      <c r="X238" t="s">
        <v>41</v>
      </c>
      <c r="Y238" t="s">
        <v>41</v>
      </c>
      <c r="Z238" t="s">
        <v>43</v>
      </c>
      <c r="AA238">
        <v>1708</v>
      </c>
      <c r="AB238" t="s">
        <v>40</v>
      </c>
      <c r="AC238" t="s">
        <v>142</v>
      </c>
      <c r="AD238" t="s">
        <v>142</v>
      </c>
    </row>
    <row r="239" spans="1:30" x14ac:dyDescent="0.3">
      <c r="A239">
        <v>40051</v>
      </c>
      <c r="B239">
        <v>40051</v>
      </c>
      <c r="C239">
        <v>1</v>
      </c>
      <c r="D239" t="s">
        <v>547</v>
      </c>
      <c r="E239" t="s">
        <v>547</v>
      </c>
      <c r="F239" t="s">
        <v>102</v>
      </c>
      <c r="G239" t="s">
        <v>102</v>
      </c>
      <c r="H239" t="s">
        <v>39</v>
      </c>
      <c r="I239" t="s">
        <v>40</v>
      </c>
      <c r="J239" t="s">
        <v>41</v>
      </c>
      <c r="K239">
        <v>0</v>
      </c>
      <c r="L239">
        <v>0</v>
      </c>
      <c r="M239">
        <v>0</v>
      </c>
      <c r="N239">
        <v>0.71379999999999999</v>
      </c>
      <c r="O239">
        <v>0.71390700756358405</v>
      </c>
      <c r="P239" t="s">
        <v>41</v>
      </c>
      <c r="Q239">
        <v>0</v>
      </c>
      <c r="R239" t="s">
        <v>50</v>
      </c>
      <c r="S239">
        <v>1948</v>
      </c>
      <c r="T239" t="s">
        <v>66</v>
      </c>
      <c r="U239" t="s">
        <v>40</v>
      </c>
      <c r="V239" t="s">
        <v>40</v>
      </c>
      <c r="W239" t="s">
        <v>40</v>
      </c>
      <c r="X239" t="s">
        <v>41</v>
      </c>
      <c r="Y239" t="s">
        <v>41</v>
      </c>
      <c r="Z239" t="s">
        <v>43</v>
      </c>
      <c r="AA239">
        <v>1708</v>
      </c>
      <c r="AB239" t="s">
        <v>40</v>
      </c>
      <c r="AC239" t="s">
        <v>142</v>
      </c>
      <c r="AD239" t="s">
        <v>142</v>
      </c>
    </row>
    <row r="240" spans="1:30" x14ac:dyDescent="0.3">
      <c r="A240">
        <v>40068</v>
      </c>
      <c r="B240">
        <v>40068</v>
      </c>
      <c r="C240">
        <v>1</v>
      </c>
      <c r="D240" t="s">
        <v>548</v>
      </c>
      <c r="E240" t="s">
        <v>548</v>
      </c>
      <c r="F240" t="s">
        <v>102</v>
      </c>
      <c r="G240" t="s">
        <v>102</v>
      </c>
      <c r="H240" t="s">
        <v>39</v>
      </c>
      <c r="I240" t="s">
        <v>40</v>
      </c>
      <c r="J240" t="s">
        <v>41</v>
      </c>
      <c r="K240">
        <v>0</v>
      </c>
      <c r="L240">
        <v>0</v>
      </c>
      <c r="M240">
        <v>0</v>
      </c>
      <c r="N240">
        <v>3.4430000000000001</v>
      </c>
      <c r="O240">
        <v>3.4420193463866999</v>
      </c>
      <c r="P240" t="s">
        <v>41</v>
      </c>
      <c r="Q240">
        <v>0</v>
      </c>
      <c r="R240" t="s">
        <v>50</v>
      </c>
      <c r="S240">
        <v>1948</v>
      </c>
      <c r="T240" t="s">
        <v>66</v>
      </c>
      <c r="U240" t="s">
        <v>40</v>
      </c>
      <c r="V240" t="s">
        <v>40</v>
      </c>
      <c r="W240" t="s">
        <v>40</v>
      </c>
      <c r="X240" t="s">
        <v>41</v>
      </c>
      <c r="Y240" t="s">
        <v>41</v>
      </c>
      <c r="Z240" t="s">
        <v>43</v>
      </c>
      <c r="AA240">
        <v>1708</v>
      </c>
      <c r="AB240" t="s">
        <v>40</v>
      </c>
      <c r="AC240" t="s">
        <v>142</v>
      </c>
      <c r="AD240" t="s">
        <v>142</v>
      </c>
    </row>
    <row r="241" spans="1:30" x14ac:dyDescent="0.3">
      <c r="A241">
        <v>40144</v>
      </c>
      <c r="B241">
        <v>40144</v>
      </c>
      <c r="C241">
        <v>1</v>
      </c>
      <c r="D241" t="s">
        <v>549</v>
      </c>
      <c r="E241" t="s">
        <v>549</v>
      </c>
      <c r="F241" t="s">
        <v>102</v>
      </c>
      <c r="G241" t="s">
        <v>102</v>
      </c>
      <c r="H241" t="s">
        <v>39</v>
      </c>
      <c r="I241" t="s">
        <v>40</v>
      </c>
      <c r="J241" t="s">
        <v>41</v>
      </c>
      <c r="K241">
        <v>0</v>
      </c>
      <c r="L241">
        <v>0</v>
      </c>
      <c r="M241">
        <v>0</v>
      </c>
      <c r="N241">
        <v>12.3104</v>
      </c>
      <c r="O241">
        <v>12.3103673244566</v>
      </c>
      <c r="P241" t="s">
        <v>41</v>
      </c>
      <c r="Q241">
        <v>0</v>
      </c>
      <c r="R241" t="s">
        <v>50</v>
      </c>
      <c r="S241">
        <v>1968</v>
      </c>
      <c r="T241" t="s">
        <v>66</v>
      </c>
      <c r="U241" t="s">
        <v>40</v>
      </c>
      <c r="V241" t="s">
        <v>40</v>
      </c>
      <c r="W241" t="s">
        <v>40</v>
      </c>
      <c r="X241" t="s">
        <v>41</v>
      </c>
      <c r="Y241" t="s">
        <v>41</v>
      </c>
      <c r="Z241" t="s">
        <v>43</v>
      </c>
      <c r="AA241">
        <v>1708</v>
      </c>
      <c r="AB241" t="s">
        <v>40</v>
      </c>
      <c r="AC241" t="s">
        <v>142</v>
      </c>
      <c r="AD241" t="s">
        <v>142</v>
      </c>
    </row>
    <row r="242" spans="1:30" x14ac:dyDescent="0.3">
      <c r="A242">
        <v>40141</v>
      </c>
      <c r="B242">
        <v>40141</v>
      </c>
      <c r="C242">
        <v>1</v>
      </c>
      <c r="D242" t="s">
        <v>550</v>
      </c>
      <c r="E242" t="s">
        <v>550</v>
      </c>
      <c r="F242" t="s">
        <v>102</v>
      </c>
      <c r="G242" t="s">
        <v>102</v>
      </c>
      <c r="H242" t="s">
        <v>39</v>
      </c>
      <c r="I242" t="s">
        <v>40</v>
      </c>
      <c r="J242" t="s">
        <v>41</v>
      </c>
      <c r="K242">
        <v>0</v>
      </c>
      <c r="L242">
        <v>0</v>
      </c>
      <c r="M242">
        <v>0</v>
      </c>
      <c r="N242">
        <v>1.9921</v>
      </c>
      <c r="O242">
        <v>1.99117611515363</v>
      </c>
      <c r="P242" t="s">
        <v>41</v>
      </c>
      <c r="Q242">
        <v>0</v>
      </c>
      <c r="R242" t="s">
        <v>50</v>
      </c>
      <c r="S242">
        <v>1968</v>
      </c>
      <c r="T242" t="s">
        <v>66</v>
      </c>
      <c r="U242" t="s">
        <v>40</v>
      </c>
      <c r="V242" t="s">
        <v>40</v>
      </c>
      <c r="W242" t="s">
        <v>40</v>
      </c>
      <c r="X242" t="s">
        <v>41</v>
      </c>
      <c r="Y242" t="s">
        <v>41</v>
      </c>
      <c r="Z242" t="s">
        <v>43</v>
      </c>
      <c r="AA242">
        <v>1708</v>
      </c>
      <c r="AB242" t="s">
        <v>40</v>
      </c>
      <c r="AC242" t="s">
        <v>142</v>
      </c>
      <c r="AD242" t="s">
        <v>142</v>
      </c>
    </row>
    <row r="243" spans="1:30" x14ac:dyDescent="0.3">
      <c r="A243">
        <v>40124</v>
      </c>
      <c r="B243">
        <v>40124</v>
      </c>
      <c r="C243">
        <v>1</v>
      </c>
      <c r="D243" t="s">
        <v>551</v>
      </c>
      <c r="E243" t="s">
        <v>551</v>
      </c>
      <c r="F243" t="s">
        <v>102</v>
      </c>
      <c r="G243" t="s">
        <v>102</v>
      </c>
      <c r="H243" t="s">
        <v>39</v>
      </c>
      <c r="I243" t="s">
        <v>40</v>
      </c>
      <c r="J243" t="s">
        <v>41</v>
      </c>
      <c r="K243">
        <v>0</v>
      </c>
      <c r="L243">
        <v>0</v>
      </c>
      <c r="M243">
        <v>0</v>
      </c>
      <c r="N243">
        <v>158.71340000000001</v>
      </c>
      <c r="O243">
        <v>158.70841646774701</v>
      </c>
      <c r="P243" t="s">
        <v>41</v>
      </c>
      <c r="Q243">
        <v>0</v>
      </c>
      <c r="R243" t="s">
        <v>50</v>
      </c>
      <c r="S243">
        <v>1967</v>
      </c>
      <c r="T243" t="s">
        <v>66</v>
      </c>
      <c r="U243" t="s">
        <v>40</v>
      </c>
      <c r="V243" t="s">
        <v>40</v>
      </c>
      <c r="W243" t="s">
        <v>40</v>
      </c>
      <c r="X243" t="s">
        <v>41</v>
      </c>
      <c r="Y243" t="s">
        <v>41</v>
      </c>
      <c r="Z243" t="s">
        <v>43</v>
      </c>
      <c r="AA243">
        <v>1708</v>
      </c>
      <c r="AB243" t="s">
        <v>40</v>
      </c>
      <c r="AC243" t="s">
        <v>142</v>
      </c>
      <c r="AD243" t="s">
        <v>142</v>
      </c>
    </row>
    <row r="244" spans="1:30" x14ac:dyDescent="0.3">
      <c r="A244">
        <v>40139</v>
      </c>
      <c r="B244">
        <v>40139</v>
      </c>
      <c r="C244">
        <v>1</v>
      </c>
      <c r="D244" t="s">
        <v>552</v>
      </c>
      <c r="E244" t="s">
        <v>552</v>
      </c>
      <c r="F244" t="s">
        <v>102</v>
      </c>
      <c r="G244" t="s">
        <v>102</v>
      </c>
      <c r="H244" t="s">
        <v>39</v>
      </c>
      <c r="I244" t="s">
        <v>40</v>
      </c>
      <c r="J244" t="s">
        <v>41</v>
      </c>
      <c r="K244">
        <v>0</v>
      </c>
      <c r="L244">
        <v>0</v>
      </c>
      <c r="M244">
        <v>0</v>
      </c>
      <c r="N244">
        <v>50.889899999999898</v>
      </c>
      <c r="O244">
        <v>50.888919894916299</v>
      </c>
      <c r="P244" t="s">
        <v>41</v>
      </c>
      <c r="Q244">
        <v>0</v>
      </c>
      <c r="R244" t="s">
        <v>50</v>
      </c>
      <c r="S244">
        <v>1968</v>
      </c>
      <c r="T244" t="s">
        <v>66</v>
      </c>
      <c r="U244" t="s">
        <v>40</v>
      </c>
      <c r="V244" t="s">
        <v>40</v>
      </c>
      <c r="W244" t="s">
        <v>40</v>
      </c>
      <c r="X244" t="s">
        <v>41</v>
      </c>
      <c r="Y244" t="s">
        <v>41</v>
      </c>
      <c r="Z244" t="s">
        <v>43</v>
      </c>
      <c r="AA244">
        <v>1708</v>
      </c>
      <c r="AB244" t="s">
        <v>40</v>
      </c>
      <c r="AC244" t="s">
        <v>142</v>
      </c>
      <c r="AD244" t="s">
        <v>142</v>
      </c>
    </row>
    <row r="245" spans="1:30" x14ac:dyDescent="0.3">
      <c r="A245">
        <v>315231</v>
      </c>
      <c r="B245">
        <v>315231</v>
      </c>
      <c r="C245">
        <v>1</v>
      </c>
      <c r="D245" t="s">
        <v>553</v>
      </c>
      <c r="E245" t="s">
        <v>554</v>
      </c>
      <c r="F245" t="s">
        <v>102</v>
      </c>
      <c r="G245" t="s">
        <v>102</v>
      </c>
      <c r="H245" t="s">
        <v>39</v>
      </c>
      <c r="I245" t="s">
        <v>40</v>
      </c>
      <c r="J245" t="s">
        <v>41</v>
      </c>
      <c r="K245">
        <v>0</v>
      </c>
      <c r="L245">
        <v>0</v>
      </c>
      <c r="M245">
        <v>0</v>
      </c>
      <c r="N245">
        <v>2.4561999999999999</v>
      </c>
      <c r="O245">
        <v>2.4563098868340698</v>
      </c>
      <c r="P245" t="s">
        <v>41</v>
      </c>
      <c r="Q245">
        <v>0</v>
      </c>
      <c r="R245" t="s">
        <v>50</v>
      </c>
      <c r="S245">
        <v>1965</v>
      </c>
      <c r="T245" t="s">
        <v>66</v>
      </c>
      <c r="U245" t="s">
        <v>40</v>
      </c>
      <c r="V245" t="s">
        <v>40</v>
      </c>
      <c r="W245" t="s">
        <v>40</v>
      </c>
      <c r="X245" t="s">
        <v>41</v>
      </c>
      <c r="Y245" t="s">
        <v>41</v>
      </c>
      <c r="Z245" t="s">
        <v>43</v>
      </c>
      <c r="AA245">
        <v>1708</v>
      </c>
      <c r="AB245" t="s">
        <v>40</v>
      </c>
      <c r="AC245" t="s">
        <v>142</v>
      </c>
      <c r="AD245" t="s">
        <v>142</v>
      </c>
    </row>
    <row r="246" spans="1:30" x14ac:dyDescent="0.3">
      <c r="A246">
        <v>315141</v>
      </c>
      <c r="B246">
        <v>315141</v>
      </c>
      <c r="C246">
        <v>1</v>
      </c>
      <c r="D246" t="s">
        <v>555</v>
      </c>
      <c r="E246" t="s">
        <v>555</v>
      </c>
      <c r="F246" t="s">
        <v>102</v>
      </c>
      <c r="G246" t="s">
        <v>102</v>
      </c>
      <c r="H246" t="s">
        <v>39</v>
      </c>
      <c r="I246" t="s">
        <v>40</v>
      </c>
      <c r="J246" t="s">
        <v>41</v>
      </c>
      <c r="K246">
        <v>0</v>
      </c>
      <c r="L246">
        <v>0</v>
      </c>
      <c r="M246">
        <v>0</v>
      </c>
      <c r="N246">
        <v>7.4755000000000003</v>
      </c>
      <c r="O246">
        <v>7.4753276790704799</v>
      </c>
      <c r="P246" t="s">
        <v>41</v>
      </c>
      <c r="Q246">
        <v>0</v>
      </c>
      <c r="R246" t="s">
        <v>50</v>
      </c>
      <c r="S246">
        <v>0</v>
      </c>
      <c r="T246" t="s">
        <v>66</v>
      </c>
      <c r="U246" t="s">
        <v>40</v>
      </c>
      <c r="V246" t="s">
        <v>40</v>
      </c>
      <c r="W246" t="s">
        <v>40</v>
      </c>
      <c r="X246" t="s">
        <v>41</v>
      </c>
      <c r="Y246" t="s">
        <v>41</v>
      </c>
      <c r="Z246" t="s">
        <v>43</v>
      </c>
      <c r="AA246">
        <v>1708</v>
      </c>
      <c r="AB246" t="s">
        <v>40</v>
      </c>
      <c r="AC246" t="s">
        <v>142</v>
      </c>
      <c r="AD246" t="s">
        <v>142</v>
      </c>
    </row>
    <row r="247" spans="1:30" x14ac:dyDescent="0.3">
      <c r="A247">
        <v>40249</v>
      </c>
      <c r="B247">
        <v>40249</v>
      </c>
      <c r="C247">
        <v>1</v>
      </c>
      <c r="D247" t="s">
        <v>556</v>
      </c>
      <c r="E247" t="s">
        <v>556</v>
      </c>
      <c r="F247" t="s">
        <v>102</v>
      </c>
      <c r="G247" t="s">
        <v>102</v>
      </c>
      <c r="H247" t="s">
        <v>39</v>
      </c>
      <c r="I247" t="s">
        <v>40</v>
      </c>
      <c r="J247" t="s">
        <v>41</v>
      </c>
      <c r="K247">
        <v>0</v>
      </c>
      <c r="L247">
        <v>0</v>
      </c>
      <c r="M247">
        <v>0</v>
      </c>
      <c r="N247">
        <v>44.659999999999897</v>
      </c>
      <c r="O247">
        <v>44.6575271491038</v>
      </c>
      <c r="P247" t="s">
        <v>41</v>
      </c>
      <c r="Q247">
        <v>0</v>
      </c>
      <c r="R247" t="s">
        <v>50</v>
      </c>
      <c r="S247">
        <v>1948</v>
      </c>
      <c r="T247" t="s">
        <v>66</v>
      </c>
      <c r="U247" t="s">
        <v>40</v>
      </c>
      <c r="V247" t="s">
        <v>40</v>
      </c>
      <c r="W247" t="s">
        <v>40</v>
      </c>
      <c r="X247" t="s">
        <v>41</v>
      </c>
      <c r="Y247" t="s">
        <v>41</v>
      </c>
      <c r="Z247" t="s">
        <v>43</v>
      </c>
      <c r="AA247">
        <v>1708</v>
      </c>
      <c r="AB247" t="s">
        <v>40</v>
      </c>
      <c r="AC247" t="s">
        <v>142</v>
      </c>
      <c r="AD247" t="s">
        <v>142</v>
      </c>
    </row>
    <row r="248" spans="1:30" x14ac:dyDescent="0.3">
      <c r="A248">
        <v>40701</v>
      </c>
      <c r="B248">
        <v>40701</v>
      </c>
      <c r="C248">
        <v>1</v>
      </c>
      <c r="D248" t="s">
        <v>557</v>
      </c>
      <c r="E248" t="s">
        <v>557</v>
      </c>
      <c r="F248" t="s">
        <v>102</v>
      </c>
      <c r="G248" t="s">
        <v>102</v>
      </c>
      <c r="H248" t="s">
        <v>39</v>
      </c>
      <c r="I248" t="s">
        <v>40</v>
      </c>
      <c r="J248" t="s">
        <v>41</v>
      </c>
      <c r="K248">
        <v>0</v>
      </c>
      <c r="L248">
        <v>0</v>
      </c>
      <c r="M248">
        <v>0</v>
      </c>
      <c r="N248">
        <v>23.161300000000001</v>
      </c>
      <c r="O248">
        <v>23.161976370960002</v>
      </c>
      <c r="P248" t="s">
        <v>41</v>
      </c>
      <c r="Q248">
        <v>0</v>
      </c>
      <c r="R248" t="s">
        <v>50</v>
      </c>
      <c r="S248">
        <v>1932</v>
      </c>
      <c r="T248" t="s">
        <v>66</v>
      </c>
      <c r="U248" t="s">
        <v>40</v>
      </c>
      <c r="V248" t="s">
        <v>40</v>
      </c>
      <c r="W248" t="s">
        <v>40</v>
      </c>
      <c r="X248" t="s">
        <v>41</v>
      </c>
      <c r="Y248" t="s">
        <v>41</v>
      </c>
      <c r="Z248" t="s">
        <v>43</v>
      </c>
      <c r="AA248">
        <v>1708</v>
      </c>
      <c r="AB248" t="s">
        <v>40</v>
      </c>
      <c r="AC248" t="s">
        <v>142</v>
      </c>
      <c r="AD248" t="s">
        <v>142</v>
      </c>
    </row>
    <row r="249" spans="1:30" x14ac:dyDescent="0.3">
      <c r="A249">
        <v>64633</v>
      </c>
      <c r="B249">
        <v>64633</v>
      </c>
      <c r="C249">
        <v>1</v>
      </c>
      <c r="D249" t="s">
        <v>558</v>
      </c>
      <c r="E249" t="s">
        <v>558</v>
      </c>
      <c r="F249" t="s">
        <v>102</v>
      </c>
      <c r="G249" t="s">
        <v>102</v>
      </c>
      <c r="H249" t="s">
        <v>39</v>
      </c>
      <c r="I249" t="s">
        <v>40</v>
      </c>
      <c r="J249" t="s">
        <v>41</v>
      </c>
      <c r="K249">
        <v>0</v>
      </c>
      <c r="L249">
        <v>0</v>
      </c>
      <c r="M249">
        <v>0</v>
      </c>
      <c r="N249">
        <v>10.9275</v>
      </c>
      <c r="O249">
        <v>10.9284432926066</v>
      </c>
      <c r="P249" t="s">
        <v>41</v>
      </c>
      <c r="Q249">
        <v>0</v>
      </c>
      <c r="R249" t="s">
        <v>50</v>
      </c>
      <c r="S249">
        <v>1932</v>
      </c>
      <c r="T249" t="s">
        <v>66</v>
      </c>
      <c r="U249" t="s">
        <v>40</v>
      </c>
      <c r="V249" t="s">
        <v>40</v>
      </c>
      <c r="W249" t="s">
        <v>40</v>
      </c>
      <c r="X249" t="s">
        <v>41</v>
      </c>
      <c r="Y249" t="s">
        <v>41</v>
      </c>
      <c r="Z249" t="s">
        <v>43</v>
      </c>
      <c r="AA249">
        <v>1708</v>
      </c>
      <c r="AB249" t="s">
        <v>40</v>
      </c>
      <c r="AC249" t="s">
        <v>142</v>
      </c>
      <c r="AD249" t="s">
        <v>142</v>
      </c>
    </row>
    <row r="250" spans="1:30" x14ac:dyDescent="0.3">
      <c r="A250">
        <v>40001</v>
      </c>
      <c r="B250">
        <v>40001</v>
      </c>
      <c r="C250">
        <v>1</v>
      </c>
      <c r="D250" t="s">
        <v>559</v>
      </c>
      <c r="E250" t="s">
        <v>559</v>
      </c>
      <c r="F250" t="s">
        <v>102</v>
      </c>
      <c r="G250" t="s">
        <v>102</v>
      </c>
      <c r="H250" t="s">
        <v>39</v>
      </c>
      <c r="I250" t="s">
        <v>40</v>
      </c>
      <c r="J250" t="s">
        <v>41</v>
      </c>
      <c r="K250">
        <v>0</v>
      </c>
      <c r="L250">
        <v>0</v>
      </c>
      <c r="M250">
        <v>0</v>
      </c>
      <c r="N250">
        <v>10.127000000000001</v>
      </c>
      <c r="O250">
        <v>10.1260930856124</v>
      </c>
      <c r="P250" t="s">
        <v>41</v>
      </c>
      <c r="Q250">
        <v>0</v>
      </c>
      <c r="R250" t="s">
        <v>50</v>
      </c>
      <c r="S250">
        <v>1932</v>
      </c>
      <c r="T250" t="s">
        <v>66</v>
      </c>
      <c r="U250" t="s">
        <v>40</v>
      </c>
      <c r="V250" t="s">
        <v>40</v>
      </c>
      <c r="W250" t="s">
        <v>40</v>
      </c>
      <c r="X250" t="s">
        <v>41</v>
      </c>
      <c r="Y250" t="s">
        <v>41</v>
      </c>
      <c r="Z250" t="s">
        <v>43</v>
      </c>
      <c r="AA250">
        <v>1708</v>
      </c>
      <c r="AB250" t="s">
        <v>40</v>
      </c>
      <c r="AC250" t="s">
        <v>142</v>
      </c>
      <c r="AD250" t="s">
        <v>142</v>
      </c>
    </row>
    <row r="251" spans="1:30" x14ac:dyDescent="0.3">
      <c r="A251">
        <v>315285</v>
      </c>
      <c r="B251">
        <v>315285</v>
      </c>
      <c r="C251">
        <v>1</v>
      </c>
      <c r="D251" t="s">
        <v>560</v>
      </c>
      <c r="E251" t="s">
        <v>560</v>
      </c>
      <c r="F251" t="s">
        <v>102</v>
      </c>
      <c r="G251" t="s">
        <v>102</v>
      </c>
      <c r="H251" t="s">
        <v>39</v>
      </c>
      <c r="I251" t="s">
        <v>40</v>
      </c>
      <c r="J251" t="s">
        <v>41</v>
      </c>
      <c r="K251">
        <v>0</v>
      </c>
      <c r="L251">
        <v>0</v>
      </c>
      <c r="M251">
        <v>0</v>
      </c>
      <c r="N251">
        <v>6.9336000000000002</v>
      </c>
      <c r="O251">
        <v>6.9327359583649804</v>
      </c>
      <c r="P251" t="s">
        <v>41</v>
      </c>
      <c r="Q251">
        <v>0</v>
      </c>
      <c r="R251" t="s">
        <v>50</v>
      </c>
      <c r="S251">
        <v>1932</v>
      </c>
      <c r="T251" t="s">
        <v>66</v>
      </c>
      <c r="U251" t="s">
        <v>40</v>
      </c>
      <c r="V251" t="s">
        <v>40</v>
      </c>
      <c r="W251" t="s">
        <v>40</v>
      </c>
      <c r="X251" t="s">
        <v>41</v>
      </c>
      <c r="Y251" t="s">
        <v>41</v>
      </c>
      <c r="Z251" t="s">
        <v>43</v>
      </c>
      <c r="AA251">
        <v>1708</v>
      </c>
      <c r="AB251" t="s">
        <v>40</v>
      </c>
      <c r="AC251" t="s">
        <v>142</v>
      </c>
      <c r="AD251" t="s">
        <v>142</v>
      </c>
    </row>
    <row r="252" spans="1:30" x14ac:dyDescent="0.3">
      <c r="A252">
        <v>40234</v>
      </c>
      <c r="B252">
        <v>40234</v>
      </c>
      <c r="C252">
        <v>1</v>
      </c>
      <c r="D252" t="s">
        <v>561</v>
      </c>
      <c r="E252" t="s">
        <v>561</v>
      </c>
      <c r="F252" t="s">
        <v>102</v>
      </c>
      <c r="G252" t="s">
        <v>102</v>
      </c>
      <c r="H252" t="s">
        <v>39</v>
      </c>
      <c r="I252" t="s">
        <v>40</v>
      </c>
      <c r="J252" t="s">
        <v>41</v>
      </c>
      <c r="K252">
        <v>0</v>
      </c>
      <c r="L252">
        <v>0</v>
      </c>
      <c r="M252">
        <v>0</v>
      </c>
      <c r="N252">
        <v>10.8361</v>
      </c>
      <c r="O252">
        <v>10.8358927324949</v>
      </c>
      <c r="P252" t="s">
        <v>41</v>
      </c>
      <c r="Q252">
        <v>0</v>
      </c>
      <c r="R252" t="s">
        <v>50</v>
      </c>
      <c r="S252">
        <v>1932</v>
      </c>
      <c r="T252" t="s">
        <v>66</v>
      </c>
      <c r="U252" t="s">
        <v>40</v>
      </c>
      <c r="V252" t="s">
        <v>40</v>
      </c>
      <c r="W252" t="s">
        <v>40</v>
      </c>
      <c r="X252" t="s">
        <v>41</v>
      </c>
      <c r="Y252" t="s">
        <v>41</v>
      </c>
      <c r="Z252" t="s">
        <v>43</v>
      </c>
      <c r="AA252">
        <v>1708</v>
      </c>
      <c r="AB252" t="s">
        <v>40</v>
      </c>
      <c r="AC252" t="s">
        <v>142</v>
      </c>
      <c r="AD252" t="s">
        <v>142</v>
      </c>
    </row>
    <row r="253" spans="1:30" x14ac:dyDescent="0.3">
      <c r="A253">
        <v>40240</v>
      </c>
      <c r="B253">
        <v>40240</v>
      </c>
      <c r="C253">
        <v>1</v>
      </c>
      <c r="D253" t="s">
        <v>562</v>
      </c>
      <c r="E253" t="s">
        <v>562</v>
      </c>
      <c r="F253" t="s">
        <v>102</v>
      </c>
      <c r="G253" t="s">
        <v>102</v>
      </c>
      <c r="H253" t="s">
        <v>39</v>
      </c>
      <c r="I253" t="s">
        <v>40</v>
      </c>
      <c r="J253" t="s">
        <v>41</v>
      </c>
      <c r="K253">
        <v>0</v>
      </c>
      <c r="L253">
        <v>0</v>
      </c>
      <c r="M253">
        <v>0</v>
      </c>
      <c r="N253">
        <v>5.9280999999999997</v>
      </c>
      <c r="O253">
        <v>5.9278656609218503</v>
      </c>
      <c r="P253" t="s">
        <v>41</v>
      </c>
      <c r="Q253">
        <v>0</v>
      </c>
      <c r="R253" t="s">
        <v>50</v>
      </c>
      <c r="S253">
        <v>1932</v>
      </c>
      <c r="T253" t="s">
        <v>66</v>
      </c>
      <c r="U253" t="s">
        <v>40</v>
      </c>
      <c r="V253" t="s">
        <v>40</v>
      </c>
      <c r="W253" t="s">
        <v>40</v>
      </c>
      <c r="X253" t="s">
        <v>41</v>
      </c>
      <c r="Y253" t="s">
        <v>41</v>
      </c>
      <c r="Z253" t="s">
        <v>43</v>
      </c>
      <c r="AA253">
        <v>1708</v>
      </c>
      <c r="AB253" t="s">
        <v>40</v>
      </c>
      <c r="AC253" t="s">
        <v>142</v>
      </c>
      <c r="AD253" t="s">
        <v>142</v>
      </c>
    </row>
    <row r="254" spans="1:30" x14ac:dyDescent="0.3">
      <c r="A254">
        <v>40254</v>
      </c>
      <c r="B254">
        <v>40254</v>
      </c>
      <c r="C254">
        <v>1</v>
      </c>
      <c r="D254" t="s">
        <v>563</v>
      </c>
      <c r="E254" t="s">
        <v>563</v>
      </c>
      <c r="F254" t="s">
        <v>102</v>
      </c>
      <c r="G254" t="s">
        <v>102</v>
      </c>
      <c r="H254" t="s">
        <v>39</v>
      </c>
      <c r="I254" t="s">
        <v>40</v>
      </c>
      <c r="J254" t="s">
        <v>41</v>
      </c>
      <c r="K254">
        <v>0</v>
      </c>
      <c r="L254">
        <v>0</v>
      </c>
      <c r="M254">
        <v>0</v>
      </c>
      <c r="N254">
        <v>3.6078999999999999</v>
      </c>
      <c r="O254">
        <v>3.6088558829591402</v>
      </c>
      <c r="P254" t="s">
        <v>41</v>
      </c>
      <c r="Q254">
        <v>0</v>
      </c>
      <c r="R254" t="s">
        <v>50</v>
      </c>
      <c r="S254">
        <v>1948</v>
      </c>
      <c r="T254" t="s">
        <v>66</v>
      </c>
      <c r="U254" t="s">
        <v>40</v>
      </c>
      <c r="V254" t="s">
        <v>40</v>
      </c>
      <c r="W254" t="s">
        <v>40</v>
      </c>
      <c r="X254" t="s">
        <v>41</v>
      </c>
      <c r="Y254" t="s">
        <v>41</v>
      </c>
      <c r="Z254" t="s">
        <v>43</v>
      </c>
      <c r="AA254">
        <v>1708</v>
      </c>
      <c r="AB254" t="s">
        <v>40</v>
      </c>
      <c r="AC254" t="s">
        <v>142</v>
      </c>
      <c r="AD254" t="s">
        <v>142</v>
      </c>
    </row>
    <row r="255" spans="1:30" x14ac:dyDescent="0.3">
      <c r="A255">
        <v>40030</v>
      </c>
      <c r="B255">
        <v>40030</v>
      </c>
      <c r="C255">
        <v>1</v>
      </c>
      <c r="D255" t="s">
        <v>564</v>
      </c>
      <c r="E255" t="s">
        <v>564</v>
      </c>
      <c r="F255" t="s">
        <v>102</v>
      </c>
      <c r="G255" t="s">
        <v>102</v>
      </c>
      <c r="H255" t="s">
        <v>39</v>
      </c>
      <c r="I255" t="s">
        <v>40</v>
      </c>
      <c r="J255" t="s">
        <v>41</v>
      </c>
      <c r="K255">
        <v>0</v>
      </c>
      <c r="L255">
        <v>0</v>
      </c>
      <c r="M255">
        <v>0</v>
      </c>
      <c r="N255">
        <v>7.8799999999999995E-2</v>
      </c>
      <c r="O255">
        <v>7.8885131680464002E-2</v>
      </c>
      <c r="P255" t="s">
        <v>41</v>
      </c>
      <c r="Q255">
        <v>0</v>
      </c>
      <c r="R255" t="s">
        <v>50</v>
      </c>
      <c r="S255">
        <v>1968</v>
      </c>
      <c r="T255" t="s">
        <v>66</v>
      </c>
      <c r="U255" t="s">
        <v>40</v>
      </c>
      <c r="V255" t="s">
        <v>40</v>
      </c>
      <c r="W255" t="s">
        <v>40</v>
      </c>
      <c r="X255" t="s">
        <v>41</v>
      </c>
      <c r="Y255" t="s">
        <v>41</v>
      </c>
      <c r="Z255" t="s">
        <v>43</v>
      </c>
      <c r="AA255">
        <v>1708</v>
      </c>
      <c r="AB255" t="s">
        <v>40</v>
      </c>
      <c r="AC255" t="s">
        <v>142</v>
      </c>
      <c r="AD255" t="s">
        <v>142</v>
      </c>
    </row>
    <row r="256" spans="1:30" x14ac:dyDescent="0.3">
      <c r="A256">
        <v>315101</v>
      </c>
      <c r="B256">
        <v>315101</v>
      </c>
      <c r="C256">
        <v>1</v>
      </c>
      <c r="D256" t="s">
        <v>565</v>
      </c>
      <c r="E256" t="s">
        <v>565</v>
      </c>
      <c r="F256" t="s">
        <v>102</v>
      </c>
      <c r="G256" t="s">
        <v>102</v>
      </c>
      <c r="H256" t="s">
        <v>39</v>
      </c>
      <c r="I256" t="s">
        <v>40</v>
      </c>
      <c r="J256" t="s">
        <v>41</v>
      </c>
      <c r="K256">
        <v>0</v>
      </c>
      <c r="L256">
        <v>0</v>
      </c>
      <c r="M256">
        <v>0</v>
      </c>
      <c r="N256">
        <v>0.27810000000000001</v>
      </c>
      <c r="O256">
        <v>0.27800197315248198</v>
      </c>
      <c r="P256" t="s">
        <v>41</v>
      </c>
      <c r="Q256">
        <v>0</v>
      </c>
      <c r="R256" t="s">
        <v>50</v>
      </c>
      <c r="S256">
        <v>1998</v>
      </c>
      <c r="T256" t="s">
        <v>66</v>
      </c>
      <c r="U256" t="s">
        <v>40</v>
      </c>
      <c r="V256" t="s">
        <v>40</v>
      </c>
      <c r="W256" t="s">
        <v>40</v>
      </c>
      <c r="X256" t="s">
        <v>41</v>
      </c>
      <c r="Y256" t="s">
        <v>41</v>
      </c>
      <c r="Z256" t="s">
        <v>43</v>
      </c>
      <c r="AA256">
        <v>1708</v>
      </c>
      <c r="AB256" t="s">
        <v>40</v>
      </c>
      <c r="AC256" t="s">
        <v>142</v>
      </c>
      <c r="AD256" t="s">
        <v>142</v>
      </c>
    </row>
    <row r="257" spans="1:30" x14ac:dyDescent="0.3">
      <c r="A257">
        <v>40032</v>
      </c>
      <c r="B257">
        <v>40032</v>
      </c>
      <c r="C257">
        <v>1</v>
      </c>
      <c r="D257" t="s">
        <v>566</v>
      </c>
      <c r="E257" t="s">
        <v>566</v>
      </c>
      <c r="F257" t="s">
        <v>102</v>
      </c>
      <c r="G257" t="s">
        <v>102</v>
      </c>
      <c r="H257" t="s">
        <v>39</v>
      </c>
      <c r="I257" t="s">
        <v>40</v>
      </c>
      <c r="J257" t="s">
        <v>41</v>
      </c>
      <c r="K257">
        <v>0</v>
      </c>
      <c r="L257">
        <v>0</v>
      </c>
      <c r="M257">
        <v>0</v>
      </c>
      <c r="N257">
        <v>1.9234</v>
      </c>
      <c r="O257">
        <v>1.9237392830530899</v>
      </c>
      <c r="P257" t="s">
        <v>41</v>
      </c>
      <c r="Q257">
        <v>0</v>
      </c>
      <c r="R257" t="s">
        <v>50</v>
      </c>
      <c r="S257">
        <v>1948</v>
      </c>
      <c r="T257" t="s">
        <v>66</v>
      </c>
      <c r="U257" t="s">
        <v>40</v>
      </c>
      <c r="V257" t="s">
        <v>40</v>
      </c>
      <c r="W257" t="s">
        <v>40</v>
      </c>
      <c r="X257" t="s">
        <v>41</v>
      </c>
      <c r="Y257" t="s">
        <v>41</v>
      </c>
      <c r="Z257" t="s">
        <v>43</v>
      </c>
      <c r="AA257">
        <v>1708</v>
      </c>
      <c r="AB257" t="s">
        <v>40</v>
      </c>
      <c r="AC257" t="s">
        <v>142</v>
      </c>
      <c r="AD257" t="s">
        <v>142</v>
      </c>
    </row>
    <row r="258" spans="1:30" x14ac:dyDescent="0.3">
      <c r="A258">
        <v>315247</v>
      </c>
      <c r="B258">
        <v>315247</v>
      </c>
      <c r="C258">
        <v>1</v>
      </c>
      <c r="D258" t="s">
        <v>567</v>
      </c>
      <c r="E258" t="s">
        <v>567</v>
      </c>
      <c r="F258" t="s">
        <v>102</v>
      </c>
      <c r="G258" t="s">
        <v>102</v>
      </c>
      <c r="H258" t="s">
        <v>39</v>
      </c>
      <c r="I258" t="s">
        <v>40</v>
      </c>
      <c r="J258" t="s">
        <v>41</v>
      </c>
      <c r="K258">
        <v>0</v>
      </c>
      <c r="L258">
        <v>0</v>
      </c>
      <c r="M258">
        <v>0</v>
      </c>
      <c r="N258">
        <v>30.1861</v>
      </c>
      <c r="O258">
        <v>30.187712262471599</v>
      </c>
      <c r="P258" t="s">
        <v>41</v>
      </c>
      <c r="Q258">
        <v>0</v>
      </c>
      <c r="R258" t="s">
        <v>50</v>
      </c>
      <c r="S258">
        <v>1967</v>
      </c>
      <c r="T258" t="s">
        <v>66</v>
      </c>
      <c r="U258" t="s">
        <v>40</v>
      </c>
      <c r="V258" t="s">
        <v>40</v>
      </c>
      <c r="W258" t="s">
        <v>40</v>
      </c>
      <c r="X258" t="s">
        <v>41</v>
      </c>
      <c r="Y258" t="s">
        <v>41</v>
      </c>
      <c r="Z258" t="s">
        <v>43</v>
      </c>
      <c r="AA258">
        <v>1708</v>
      </c>
      <c r="AB258" t="s">
        <v>40</v>
      </c>
      <c r="AC258" t="s">
        <v>142</v>
      </c>
      <c r="AD258" t="s">
        <v>142</v>
      </c>
    </row>
    <row r="259" spans="1:30" x14ac:dyDescent="0.3">
      <c r="A259">
        <v>40027</v>
      </c>
      <c r="B259">
        <v>40027</v>
      </c>
      <c r="C259">
        <v>1</v>
      </c>
      <c r="D259" t="s">
        <v>568</v>
      </c>
      <c r="E259" t="s">
        <v>568</v>
      </c>
      <c r="F259" t="s">
        <v>102</v>
      </c>
      <c r="G259" t="s">
        <v>102</v>
      </c>
      <c r="H259" t="s">
        <v>39</v>
      </c>
      <c r="I259" t="s">
        <v>40</v>
      </c>
      <c r="J259" t="s">
        <v>41</v>
      </c>
      <c r="K259">
        <v>0</v>
      </c>
      <c r="L259">
        <v>0</v>
      </c>
      <c r="M259">
        <v>0</v>
      </c>
      <c r="N259">
        <v>140.648099999999</v>
      </c>
      <c r="O259">
        <v>140.64960543491</v>
      </c>
      <c r="P259" t="s">
        <v>41</v>
      </c>
      <c r="Q259">
        <v>0</v>
      </c>
      <c r="R259" t="s">
        <v>50</v>
      </c>
      <c r="S259">
        <v>1932</v>
      </c>
      <c r="T259" t="s">
        <v>66</v>
      </c>
      <c r="U259" t="s">
        <v>40</v>
      </c>
      <c r="V259" t="s">
        <v>40</v>
      </c>
      <c r="W259" t="s">
        <v>40</v>
      </c>
      <c r="X259" t="s">
        <v>41</v>
      </c>
      <c r="Y259" t="s">
        <v>41</v>
      </c>
      <c r="Z259" t="s">
        <v>43</v>
      </c>
      <c r="AA259">
        <v>1708</v>
      </c>
      <c r="AB259" t="s">
        <v>40</v>
      </c>
      <c r="AC259" t="s">
        <v>142</v>
      </c>
      <c r="AD259" t="s">
        <v>142</v>
      </c>
    </row>
    <row r="260" spans="1:30" x14ac:dyDescent="0.3">
      <c r="A260">
        <v>40075</v>
      </c>
      <c r="B260">
        <v>40075</v>
      </c>
      <c r="C260">
        <v>1</v>
      </c>
      <c r="D260" t="s">
        <v>569</v>
      </c>
      <c r="E260" t="s">
        <v>570</v>
      </c>
      <c r="F260" t="s">
        <v>102</v>
      </c>
      <c r="G260" t="s">
        <v>102</v>
      </c>
      <c r="H260" t="s">
        <v>39</v>
      </c>
      <c r="I260" t="s">
        <v>40</v>
      </c>
      <c r="J260" t="s">
        <v>41</v>
      </c>
      <c r="K260">
        <v>0</v>
      </c>
      <c r="L260">
        <v>0</v>
      </c>
      <c r="M260">
        <v>0</v>
      </c>
      <c r="N260">
        <v>0.61460000000000004</v>
      </c>
      <c r="O260">
        <v>0.61468850189379798</v>
      </c>
      <c r="P260" t="s">
        <v>41</v>
      </c>
      <c r="Q260">
        <v>0</v>
      </c>
      <c r="R260" t="s">
        <v>50</v>
      </c>
      <c r="S260">
        <v>1948</v>
      </c>
      <c r="T260" t="s">
        <v>66</v>
      </c>
      <c r="U260" t="s">
        <v>40</v>
      </c>
      <c r="V260" t="s">
        <v>40</v>
      </c>
      <c r="W260" t="s">
        <v>40</v>
      </c>
      <c r="X260" t="s">
        <v>41</v>
      </c>
      <c r="Y260" t="s">
        <v>41</v>
      </c>
      <c r="Z260" t="s">
        <v>43</v>
      </c>
      <c r="AA260">
        <v>1708</v>
      </c>
      <c r="AB260" t="s">
        <v>40</v>
      </c>
      <c r="AC260" t="s">
        <v>142</v>
      </c>
      <c r="AD260" t="s">
        <v>142</v>
      </c>
    </row>
    <row r="261" spans="1:30" x14ac:dyDescent="0.3">
      <c r="A261">
        <v>315151</v>
      </c>
      <c r="B261">
        <v>315151</v>
      </c>
      <c r="C261">
        <v>1</v>
      </c>
      <c r="D261" t="s">
        <v>571</v>
      </c>
      <c r="E261" t="s">
        <v>571</v>
      </c>
      <c r="F261" t="s">
        <v>102</v>
      </c>
      <c r="G261" t="s">
        <v>102</v>
      </c>
      <c r="H261" t="s">
        <v>39</v>
      </c>
      <c r="I261" t="s">
        <v>40</v>
      </c>
      <c r="J261" t="s">
        <v>41</v>
      </c>
      <c r="K261">
        <v>0</v>
      </c>
      <c r="L261">
        <v>0</v>
      </c>
      <c r="M261">
        <v>0</v>
      </c>
      <c r="N261">
        <v>1.0584</v>
      </c>
      <c r="O261">
        <v>1.0582075498691501</v>
      </c>
      <c r="P261" t="s">
        <v>41</v>
      </c>
      <c r="Q261">
        <v>0</v>
      </c>
      <c r="R261" t="s">
        <v>50</v>
      </c>
      <c r="S261">
        <v>0</v>
      </c>
      <c r="T261" t="s">
        <v>66</v>
      </c>
      <c r="U261" t="s">
        <v>40</v>
      </c>
      <c r="V261" t="s">
        <v>40</v>
      </c>
      <c r="W261" t="s">
        <v>40</v>
      </c>
      <c r="X261" t="s">
        <v>41</v>
      </c>
      <c r="Y261" t="s">
        <v>41</v>
      </c>
      <c r="Z261" t="s">
        <v>43</v>
      </c>
      <c r="AA261">
        <v>1708</v>
      </c>
      <c r="AB261" t="s">
        <v>40</v>
      </c>
      <c r="AC261" t="s">
        <v>142</v>
      </c>
      <c r="AD261" t="s">
        <v>142</v>
      </c>
    </row>
    <row r="262" spans="1:30" x14ac:dyDescent="0.3">
      <c r="A262">
        <v>34808</v>
      </c>
      <c r="B262">
        <v>34808</v>
      </c>
      <c r="C262">
        <v>1</v>
      </c>
      <c r="D262" t="s">
        <v>572</v>
      </c>
      <c r="E262" t="s">
        <v>572</v>
      </c>
      <c r="F262" t="s">
        <v>102</v>
      </c>
      <c r="G262" t="s">
        <v>102</v>
      </c>
      <c r="H262" t="s">
        <v>39</v>
      </c>
      <c r="I262" t="s">
        <v>40</v>
      </c>
      <c r="J262" t="s">
        <v>41</v>
      </c>
      <c r="K262">
        <v>0</v>
      </c>
      <c r="L262">
        <v>0</v>
      </c>
      <c r="M262">
        <v>0</v>
      </c>
      <c r="N262">
        <v>310.31839999999897</v>
      </c>
      <c r="O262">
        <v>310.31750428968201</v>
      </c>
      <c r="P262" t="s">
        <v>41</v>
      </c>
      <c r="Q262">
        <v>0</v>
      </c>
      <c r="R262" t="s">
        <v>50</v>
      </c>
      <c r="S262">
        <v>1932</v>
      </c>
      <c r="T262" t="s">
        <v>66</v>
      </c>
      <c r="U262" t="s">
        <v>40</v>
      </c>
      <c r="V262" t="s">
        <v>40</v>
      </c>
      <c r="W262" t="s">
        <v>40</v>
      </c>
      <c r="X262" t="s">
        <v>41</v>
      </c>
      <c r="Y262" t="s">
        <v>41</v>
      </c>
      <c r="Z262" t="s">
        <v>43</v>
      </c>
      <c r="AA262">
        <v>1708</v>
      </c>
      <c r="AB262" t="s">
        <v>40</v>
      </c>
      <c r="AC262" t="s">
        <v>142</v>
      </c>
      <c r="AD262" t="s">
        <v>142</v>
      </c>
    </row>
    <row r="263" spans="1:30" x14ac:dyDescent="0.3">
      <c r="A263">
        <v>315143</v>
      </c>
      <c r="B263">
        <v>315143</v>
      </c>
      <c r="C263">
        <v>1</v>
      </c>
      <c r="D263" t="s">
        <v>573</v>
      </c>
      <c r="E263" t="s">
        <v>573</v>
      </c>
      <c r="F263" t="s">
        <v>102</v>
      </c>
      <c r="G263" t="s">
        <v>102</v>
      </c>
      <c r="H263" t="s">
        <v>39</v>
      </c>
      <c r="I263" t="s">
        <v>40</v>
      </c>
      <c r="J263" t="s">
        <v>41</v>
      </c>
      <c r="K263">
        <v>0</v>
      </c>
      <c r="L263">
        <v>0</v>
      </c>
      <c r="M263">
        <v>0</v>
      </c>
      <c r="N263">
        <v>353.87999999999897</v>
      </c>
      <c r="O263">
        <v>384.61005746910303</v>
      </c>
      <c r="P263" t="s">
        <v>41</v>
      </c>
      <c r="Q263">
        <v>0</v>
      </c>
      <c r="R263" t="s">
        <v>50</v>
      </c>
      <c r="S263">
        <v>1932</v>
      </c>
      <c r="T263" t="s">
        <v>66</v>
      </c>
      <c r="U263" t="s">
        <v>40</v>
      </c>
      <c r="V263" t="s">
        <v>40</v>
      </c>
      <c r="W263" t="s">
        <v>40</v>
      </c>
      <c r="X263" t="s">
        <v>41</v>
      </c>
      <c r="Y263" t="s">
        <v>41</v>
      </c>
      <c r="Z263" t="s">
        <v>43</v>
      </c>
      <c r="AA263">
        <v>1708</v>
      </c>
      <c r="AB263" t="s">
        <v>40</v>
      </c>
      <c r="AC263" t="s">
        <v>142</v>
      </c>
      <c r="AD263" t="s">
        <v>142</v>
      </c>
    </row>
    <row r="264" spans="1:30" x14ac:dyDescent="0.3">
      <c r="A264">
        <v>3051</v>
      </c>
      <c r="B264">
        <v>3051</v>
      </c>
      <c r="C264">
        <v>1</v>
      </c>
      <c r="D264" t="s">
        <v>574</v>
      </c>
      <c r="E264" t="s">
        <v>574</v>
      </c>
      <c r="F264" t="s">
        <v>81</v>
      </c>
      <c r="G264" t="s">
        <v>81</v>
      </c>
      <c r="H264" t="s">
        <v>82</v>
      </c>
      <c r="I264" t="s">
        <v>41</v>
      </c>
      <c r="J264" t="s">
        <v>41</v>
      </c>
      <c r="K264">
        <v>0</v>
      </c>
      <c r="L264">
        <v>0</v>
      </c>
      <c r="M264">
        <v>0</v>
      </c>
      <c r="N264">
        <v>7395</v>
      </c>
      <c r="O264">
        <v>2518.5545556607499</v>
      </c>
      <c r="P264" t="s">
        <v>41</v>
      </c>
      <c r="Q264">
        <v>0</v>
      </c>
      <c r="R264" t="s">
        <v>50</v>
      </c>
      <c r="S264">
        <v>1979</v>
      </c>
      <c r="T264" t="s">
        <v>40</v>
      </c>
      <c r="U264" t="s">
        <v>40</v>
      </c>
      <c r="V264" t="s">
        <v>40</v>
      </c>
      <c r="W264" t="s">
        <v>40</v>
      </c>
      <c r="X264" t="s">
        <v>41</v>
      </c>
      <c r="Y264" t="s">
        <v>41</v>
      </c>
      <c r="Z264" t="s">
        <v>43</v>
      </c>
      <c r="AA264">
        <v>988</v>
      </c>
      <c r="AB264" t="s">
        <v>575</v>
      </c>
      <c r="AC264" t="s">
        <v>142</v>
      </c>
      <c r="AD264" t="s">
        <v>142</v>
      </c>
    </row>
    <row r="265" spans="1:30" x14ac:dyDescent="0.3">
      <c r="A265">
        <v>26865</v>
      </c>
      <c r="B265">
        <v>26865</v>
      </c>
      <c r="C265">
        <v>1</v>
      </c>
      <c r="D265" t="s">
        <v>576</v>
      </c>
      <c r="E265" t="s">
        <v>576</v>
      </c>
      <c r="F265" t="s">
        <v>102</v>
      </c>
      <c r="G265" t="s">
        <v>102</v>
      </c>
      <c r="H265" t="s">
        <v>39</v>
      </c>
      <c r="I265" t="s">
        <v>40</v>
      </c>
      <c r="J265" t="s">
        <v>41</v>
      </c>
      <c r="K265">
        <v>0</v>
      </c>
      <c r="L265">
        <v>0</v>
      </c>
      <c r="M265">
        <v>0</v>
      </c>
      <c r="N265">
        <v>79</v>
      </c>
      <c r="O265">
        <v>79.869877136660605</v>
      </c>
      <c r="P265" t="s">
        <v>41</v>
      </c>
      <c r="Q265">
        <v>0</v>
      </c>
      <c r="R265" t="s">
        <v>50</v>
      </c>
      <c r="S265">
        <v>1972</v>
      </c>
      <c r="T265" t="s">
        <v>40</v>
      </c>
      <c r="U265" t="s">
        <v>40</v>
      </c>
      <c r="V265" t="s">
        <v>40</v>
      </c>
      <c r="W265" t="s">
        <v>40</v>
      </c>
      <c r="X265" t="s">
        <v>41</v>
      </c>
      <c r="Y265" t="s">
        <v>41</v>
      </c>
      <c r="Z265" t="s">
        <v>43</v>
      </c>
      <c r="AA265">
        <v>290</v>
      </c>
      <c r="AB265" t="s">
        <v>577</v>
      </c>
      <c r="AC265" t="s">
        <v>535</v>
      </c>
      <c r="AD265" t="s">
        <v>535</v>
      </c>
    </row>
    <row r="266" spans="1:30" x14ac:dyDescent="0.3">
      <c r="A266">
        <v>26831</v>
      </c>
      <c r="B266">
        <v>26831</v>
      </c>
      <c r="C266">
        <v>1</v>
      </c>
      <c r="D266" t="s">
        <v>578</v>
      </c>
      <c r="E266" t="s">
        <v>578</v>
      </c>
      <c r="F266" t="s">
        <v>102</v>
      </c>
      <c r="G266" t="s">
        <v>102</v>
      </c>
      <c r="H266" t="s">
        <v>39</v>
      </c>
      <c r="I266" t="s">
        <v>40</v>
      </c>
      <c r="J266" t="s">
        <v>41</v>
      </c>
      <c r="K266">
        <v>0</v>
      </c>
      <c r="L266">
        <v>0</v>
      </c>
      <c r="M266">
        <v>0</v>
      </c>
      <c r="N266">
        <v>27.1999999999999</v>
      </c>
      <c r="O266">
        <v>81.577448327894601</v>
      </c>
      <c r="P266" t="s">
        <v>41</v>
      </c>
      <c r="Q266">
        <v>0</v>
      </c>
      <c r="R266" t="s">
        <v>50</v>
      </c>
      <c r="S266">
        <v>1970</v>
      </c>
      <c r="T266" t="s">
        <v>40</v>
      </c>
      <c r="U266" t="s">
        <v>40</v>
      </c>
      <c r="V266" t="s">
        <v>40</v>
      </c>
      <c r="W266" t="s">
        <v>40</v>
      </c>
      <c r="X266" t="s">
        <v>41</v>
      </c>
      <c r="Y266" t="s">
        <v>41</v>
      </c>
      <c r="Z266" t="s">
        <v>43</v>
      </c>
      <c r="AA266">
        <v>290</v>
      </c>
      <c r="AB266" t="s">
        <v>577</v>
      </c>
      <c r="AC266" t="s">
        <v>535</v>
      </c>
      <c r="AD266" t="s">
        <v>535</v>
      </c>
    </row>
    <row r="267" spans="1:30" x14ac:dyDescent="0.3">
      <c r="A267">
        <v>26834</v>
      </c>
      <c r="B267">
        <v>26834</v>
      </c>
      <c r="C267">
        <v>1</v>
      </c>
      <c r="D267" t="s">
        <v>579</v>
      </c>
      <c r="E267" t="s">
        <v>579</v>
      </c>
      <c r="F267" t="s">
        <v>102</v>
      </c>
      <c r="G267" t="s">
        <v>102</v>
      </c>
      <c r="H267" t="s">
        <v>39</v>
      </c>
      <c r="I267" t="s">
        <v>40</v>
      </c>
      <c r="J267" t="s">
        <v>41</v>
      </c>
      <c r="K267">
        <v>0</v>
      </c>
      <c r="L267">
        <v>0</v>
      </c>
      <c r="M267">
        <v>0</v>
      </c>
      <c r="N267">
        <v>33.39</v>
      </c>
      <c r="O267">
        <v>42.0269352876658</v>
      </c>
      <c r="P267" t="s">
        <v>41</v>
      </c>
      <c r="Q267">
        <v>0</v>
      </c>
      <c r="R267" t="s">
        <v>50</v>
      </c>
      <c r="S267">
        <v>1973</v>
      </c>
      <c r="T267" t="s">
        <v>40</v>
      </c>
      <c r="U267" t="s">
        <v>40</v>
      </c>
      <c r="V267" t="s">
        <v>40</v>
      </c>
      <c r="W267" t="s">
        <v>40</v>
      </c>
      <c r="X267" t="s">
        <v>41</v>
      </c>
      <c r="Y267" t="s">
        <v>41</v>
      </c>
      <c r="Z267" t="s">
        <v>43</v>
      </c>
      <c r="AA267">
        <v>290</v>
      </c>
      <c r="AB267" t="s">
        <v>577</v>
      </c>
      <c r="AC267" t="s">
        <v>535</v>
      </c>
      <c r="AD267" t="s">
        <v>535</v>
      </c>
    </row>
    <row r="268" spans="1:30" x14ac:dyDescent="0.3">
      <c r="A268">
        <v>26871</v>
      </c>
      <c r="B268">
        <v>26871</v>
      </c>
      <c r="C268">
        <v>1</v>
      </c>
      <c r="D268" t="s">
        <v>580</v>
      </c>
      <c r="E268" t="s">
        <v>580</v>
      </c>
      <c r="F268" t="s">
        <v>102</v>
      </c>
      <c r="G268" t="s">
        <v>102</v>
      </c>
      <c r="H268" t="s">
        <v>39</v>
      </c>
      <c r="I268" t="s">
        <v>40</v>
      </c>
      <c r="J268" t="s">
        <v>41</v>
      </c>
      <c r="K268">
        <v>0</v>
      </c>
      <c r="L268">
        <v>0</v>
      </c>
      <c r="M268">
        <v>0</v>
      </c>
      <c r="N268">
        <v>1.97</v>
      </c>
      <c r="O268">
        <v>0.99207268574957397</v>
      </c>
      <c r="P268" t="s">
        <v>41</v>
      </c>
      <c r="Q268">
        <v>0</v>
      </c>
      <c r="R268" t="s">
        <v>50</v>
      </c>
      <c r="S268">
        <v>1974</v>
      </c>
      <c r="T268" t="s">
        <v>40</v>
      </c>
      <c r="U268" t="s">
        <v>40</v>
      </c>
      <c r="V268" t="s">
        <v>40</v>
      </c>
      <c r="W268" t="s">
        <v>40</v>
      </c>
      <c r="X268" t="s">
        <v>41</v>
      </c>
      <c r="Y268" t="s">
        <v>41</v>
      </c>
      <c r="Z268" t="s">
        <v>43</v>
      </c>
      <c r="AA268">
        <v>290</v>
      </c>
      <c r="AB268" t="s">
        <v>577</v>
      </c>
      <c r="AC268" t="s">
        <v>535</v>
      </c>
      <c r="AD268" t="s">
        <v>535</v>
      </c>
    </row>
    <row r="269" spans="1:30" x14ac:dyDescent="0.3">
      <c r="A269">
        <v>26934</v>
      </c>
      <c r="B269">
        <v>26934</v>
      </c>
      <c r="C269">
        <v>1</v>
      </c>
      <c r="D269" t="s">
        <v>581</v>
      </c>
      <c r="E269" t="s">
        <v>581</v>
      </c>
      <c r="F269" t="s">
        <v>102</v>
      </c>
      <c r="G269" t="s">
        <v>102</v>
      </c>
      <c r="H269" t="s">
        <v>39</v>
      </c>
      <c r="I269" t="s">
        <v>40</v>
      </c>
      <c r="J269" t="s">
        <v>41</v>
      </c>
      <c r="K269">
        <v>0</v>
      </c>
      <c r="L269">
        <v>0</v>
      </c>
      <c r="M269">
        <v>0</v>
      </c>
      <c r="N269">
        <v>5.5</v>
      </c>
      <c r="O269">
        <v>3.96348807152452</v>
      </c>
      <c r="P269" t="s">
        <v>41</v>
      </c>
      <c r="Q269">
        <v>0</v>
      </c>
      <c r="R269" t="s">
        <v>50</v>
      </c>
      <c r="S269">
        <v>1947</v>
      </c>
      <c r="T269" t="s">
        <v>40</v>
      </c>
      <c r="U269" t="s">
        <v>40</v>
      </c>
      <c r="V269" t="s">
        <v>40</v>
      </c>
      <c r="W269" t="s">
        <v>40</v>
      </c>
      <c r="X269" t="s">
        <v>41</v>
      </c>
      <c r="Y269" t="s">
        <v>41</v>
      </c>
      <c r="Z269" t="s">
        <v>43</v>
      </c>
      <c r="AA269">
        <v>290</v>
      </c>
      <c r="AB269" t="s">
        <v>582</v>
      </c>
      <c r="AC269" t="s">
        <v>535</v>
      </c>
      <c r="AD269" t="s">
        <v>535</v>
      </c>
    </row>
    <row r="270" spans="1:30" x14ac:dyDescent="0.3">
      <c r="A270">
        <v>26936</v>
      </c>
      <c r="B270">
        <v>26936</v>
      </c>
      <c r="C270">
        <v>1</v>
      </c>
      <c r="D270" t="s">
        <v>583</v>
      </c>
      <c r="E270" t="s">
        <v>583</v>
      </c>
      <c r="F270" t="s">
        <v>102</v>
      </c>
      <c r="G270" t="s">
        <v>102</v>
      </c>
      <c r="H270" t="s">
        <v>39</v>
      </c>
      <c r="I270" t="s">
        <v>40</v>
      </c>
      <c r="J270" t="s">
        <v>41</v>
      </c>
      <c r="K270">
        <v>0</v>
      </c>
      <c r="L270">
        <v>0</v>
      </c>
      <c r="M270">
        <v>0</v>
      </c>
      <c r="N270">
        <v>2.4500000000000002</v>
      </c>
      <c r="O270">
        <v>94.774609555997401</v>
      </c>
      <c r="P270" t="s">
        <v>41</v>
      </c>
      <c r="Q270">
        <v>0</v>
      </c>
      <c r="R270" t="s">
        <v>50</v>
      </c>
      <c r="S270">
        <v>1964</v>
      </c>
      <c r="T270" t="s">
        <v>40</v>
      </c>
      <c r="U270" t="s">
        <v>40</v>
      </c>
      <c r="V270" t="s">
        <v>40</v>
      </c>
      <c r="W270" t="s">
        <v>40</v>
      </c>
      <c r="X270" t="s">
        <v>41</v>
      </c>
      <c r="Y270" t="s">
        <v>41</v>
      </c>
      <c r="Z270" t="s">
        <v>43</v>
      </c>
      <c r="AA270">
        <v>290</v>
      </c>
      <c r="AB270" t="s">
        <v>584</v>
      </c>
      <c r="AC270" t="s">
        <v>535</v>
      </c>
      <c r="AD270" t="s">
        <v>535</v>
      </c>
    </row>
    <row r="271" spans="1:30" x14ac:dyDescent="0.3">
      <c r="A271">
        <v>26942</v>
      </c>
      <c r="B271">
        <v>26942</v>
      </c>
      <c r="C271">
        <v>1</v>
      </c>
      <c r="D271" t="s">
        <v>585</v>
      </c>
      <c r="E271" t="s">
        <v>585</v>
      </c>
      <c r="F271" t="s">
        <v>102</v>
      </c>
      <c r="G271" t="s">
        <v>102</v>
      </c>
      <c r="H271" t="s">
        <v>39</v>
      </c>
      <c r="I271" t="s">
        <v>40</v>
      </c>
      <c r="J271" t="s">
        <v>41</v>
      </c>
      <c r="K271">
        <v>0</v>
      </c>
      <c r="L271">
        <v>0</v>
      </c>
      <c r="M271">
        <v>0</v>
      </c>
      <c r="N271">
        <v>296.8</v>
      </c>
      <c r="O271">
        <v>352.32174097349002</v>
      </c>
      <c r="P271" t="s">
        <v>41</v>
      </c>
      <c r="Q271">
        <v>0</v>
      </c>
      <c r="R271" t="s">
        <v>50</v>
      </c>
      <c r="S271">
        <v>1981</v>
      </c>
      <c r="T271" t="s">
        <v>40</v>
      </c>
      <c r="U271" t="s">
        <v>40</v>
      </c>
      <c r="V271" t="s">
        <v>40</v>
      </c>
      <c r="W271" t="s">
        <v>40</v>
      </c>
      <c r="X271" t="s">
        <v>41</v>
      </c>
      <c r="Y271" t="s">
        <v>41</v>
      </c>
      <c r="Z271" t="s">
        <v>43</v>
      </c>
      <c r="AA271">
        <v>290</v>
      </c>
      <c r="AB271" t="s">
        <v>584</v>
      </c>
      <c r="AC271" t="s">
        <v>535</v>
      </c>
      <c r="AD271" t="s">
        <v>535</v>
      </c>
    </row>
    <row r="272" spans="1:30" x14ac:dyDescent="0.3">
      <c r="A272">
        <v>26951</v>
      </c>
      <c r="B272">
        <v>26951</v>
      </c>
      <c r="C272">
        <v>1</v>
      </c>
      <c r="D272" t="s">
        <v>586</v>
      </c>
      <c r="E272" t="s">
        <v>586</v>
      </c>
      <c r="F272" t="s">
        <v>102</v>
      </c>
      <c r="G272" t="s">
        <v>102</v>
      </c>
      <c r="H272" t="s">
        <v>39</v>
      </c>
      <c r="I272" t="s">
        <v>40</v>
      </c>
      <c r="J272" t="s">
        <v>41</v>
      </c>
      <c r="K272">
        <v>0</v>
      </c>
      <c r="L272">
        <v>0</v>
      </c>
      <c r="M272">
        <v>0</v>
      </c>
      <c r="N272">
        <v>28.1099999999999</v>
      </c>
      <c r="O272">
        <v>30.7868790572313</v>
      </c>
      <c r="P272" t="s">
        <v>41</v>
      </c>
      <c r="Q272">
        <v>0</v>
      </c>
      <c r="R272" t="s">
        <v>50</v>
      </c>
      <c r="S272">
        <v>1970</v>
      </c>
      <c r="T272" t="s">
        <v>40</v>
      </c>
      <c r="U272" t="s">
        <v>40</v>
      </c>
      <c r="V272" t="s">
        <v>40</v>
      </c>
      <c r="W272" t="s">
        <v>40</v>
      </c>
      <c r="X272" t="s">
        <v>41</v>
      </c>
      <c r="Y272" t="s">
        <v>41</v>
      </c>
      <c r="Z272" t="s">
        <v>43</v>
      </c>
      <c r="AA272">
        <v>290</v>
      </c>
      <c r="AB272" t="s">
        <v>577</v>
      </c>
      <c r="AC272" t="s">
        <v>535</v>
      </c>
      <c r="AD272" t="s">
        <v>535</v>
      </c>
    </row>
    <row r="273" spans="1:30" x14ac:dyDescent="0.3">
      <c r="A273">
        <v>26963</v>
      </c>
      <c r="B273">
        <v>26963</v>
      </c>
      <c r="C273">
        <v>1</v>
      </c>
      <c r="D273" t="s">
        <v>587</v>
      </c>
      <c r="E273" t="s">
        <v>587</v>
      </c>
      <c r="F273" t="s">
        <v>102</v>
      </c>
      <c r="G273" t="s">
        <v>102</v>
      </c>
      <c r="H273" t="s">
        <v>39</v>
      </c>
      <c r="I273" t="s">
        <v>40</v>
      </c>
      <c r="J273" t="s">
        <v>41</v>
      </c>
      <c r="K273">
        <v>0</v>
      </c>
      <c r="L273">
        <v>0</v>
      </c>
      <c r="M273">
        <v>0</v>
      </c>
      <c r="N273">
        <v>118.37</v>
      </c>
      <c r="O273">
        <v>126.609705555275</v>
      </c>
      <c r="P273" t="s">
        <v>41</v>
      </c>
      <c r="Q273">
        <v>0</v>
      </c>
      <c r="R273" t="s">
        <v>50</v>
      </c>
      <c r="S273">
        <v>1974</v>
      </c>
      <c r="T273" t="s">
        <v>40</v>
      </c>
      <c r="U273" t="s">
        <v>40</v>
      </c>
      <c r="V273" t="s">
        <v>40</v>
      </c>
      <c r="W273" t="s">
        <v>40</v>
      </c>
      <c r="X273" t="s">
        <v>41</v>
      </c>
      <c r="Y273" t="s">
        <v>41</v>
      </c>
      <c r="Z273" t="s">
        <v>43</v>
      </c>
      <c r="AA273">
        <v>290</v>
      </c>
      <c r="AB273" t="s">
        <v>584</v>
      </c>
      <c r="AC273" t="s">
        <v>535</v>
      </c>
      <c r="AD273" t="s">
        <v>535</v>
      </c>
    </row>
    <row r="274" spans="1:30" x14ac:dyDescent="0.3">
      <c r="A274">
        <v>26993</v>
      </c>
      <c r="B274">
        <v>26993</v>
      </c>
      <c r="C274">
        <v>1</v>
      </c>
      <c r="D274" t="s">
        <v>588</v>
      </c>
      <c r="E274" t="s">
        <v>588</v>
      </c>
      <c r="F274" t="s">
        <v>102</v>
      </c>
      <c r="G274" t="s">
        <v>102</v>
      </c>
      <c r="H274" t="s">
        <v>39</v>
      </c>
      <c r="I274" t="s">
        <v>40</v>
      </c>
      <c r="J274" t="s">
        <v>41</v>
      </c>
      <c r="K274">
        <v>0</v>
      </c>
      <c r="L274">
        <v>0</v>
      </c>
      <c r="M274">
        <v>0</v>
      </c>
      <c r="N274">
        <v>284.49</v>
      </c>
      <c r="O274">
        <v>305.53759942196001</v>
      </c>
      <c r="P274" t="s">
        <v>41</v>
      </c>
      <c r="Q274">
        <v>0</v>
      </c>
      <c r="R274" t="s">
        <v>50</v>
      </c>
      <c r="S274">
        <v>1970</v>
      </c>
      <c r="T274" t="s">
        <v>40</v>
      </c>
      <c r="U274" t="s">
        <v>40</v>
      </c>
      <c r="V274" t="s">
        <v>40</v>
      </c>
      <c r="W274" t="s">
        <v>40</v>
      </c>
      <c r="X274" t="s">
        <v>41</v>
      </c>
      <c r="Y274" t="s">
        <v>41</v>
      </c>
      <c r="Z274" t="s">
        <v>43</v>
      </c>
      <c r="AA274">
        <v>290</v>
      </c>
      <c r="AB274" t="s">
        <v>584</v>
      </c>
      <c r="AC274" t="s">
        <v>535</v>
      </c>
      <c r="AD274" t="s">
        <v>535</v>
      </c>
    </row>
    <row r="275" spans="1:30" x14ac:dyDescent="0.3">
      <c r="A275">
        <v>26996</v>
      </c>
      <c r="B275">
        <v>26996</v>
      </c>
      <c r="C275">
        <v>1</v>
      </c>
      <c r="D275" t="s">
        <v>589</v>
      </c>
      <c r="E275" t="s">
        <v>589</v>
      </c>
      <c r="F275" t="s">
        <v>102</v>
      </c>
      <c r="G275" t="s">
        <v>102</v>
      </c>
      <c r="H275" t="s">
        <v>39</v>
      </c>
      <c r="I275" t="s">
        <v>40</v>
      </c>
      <c r="J275" t="s">
        <v>41</v>
      </c>
      <c r="K275">
        <v>0</v>
      </c>
      <c r="L275">
        <v>0</v>
      </c>
      <c r="M275">
        <v>0</v>
      </c>
      <c r="N275">
        <v>23.67</v>
      </c>
      <c r="O275">
        <v>25.9644504067758</v>
      </c>
      <c r="P275" t="s">
        <v>41</v>
      </c>
      <c r="Q275">
        <v>0</v>
      </c>
      <c r="R275" t="s">
        <v>50</v>
      </c>
      <c r="S275">
        <v>1970</v>
      </c>
      <c r="T275" t="s">
        <v>40</v>
      </c>
      <c r="U275" t="s">
        <v>40</v>
      </c>
      <c r="V275" t="s">
        <v>40</v>
      </c>
      <c r="W275" t="s">
        <v>40</v>
      </c>
      <c r="X275" t="s">
        <v>41</v>
      </c>
      <c r="Y275" t="s">
        <v>41</v>
      </c>
      <c r="Z275" t="s">
        <v>43</v>
      </c>
      <c r="AA275">
        <v>290</v>
      </c>
      <c r="AB275" t="s">
        <v>582</v>
      </c>
      <c r="AC275" t="s">
        <v>535</v>
      </c>
      <c r="AD275" t="s">
        <v>535</v>
      </c>
    </row>
    <row r="276" spans="1:30" x14ac:dyDescent="0.3">
      <c r="A276">
        <v>27050</v>
      </c>
      <c r="B276">
        <v>27050</v>
      </c>
      <c r="C276">
        <v>1</v>
      </c>
      <c r="D276" t="s">
        <v>590</v>
      </c>
      <c r="E276" t="s">
        <v>590</v>
      </c>
      <c r="F276" t="s">
        <v>102</v>
      </c>
      <c r="G276" t="s">
        <v>102</v>
      </c>
      <c r="H276" t="s">
        <v>39</v>
      </c>
      <c r="I276" t="s">
        <v>40</v>
      </c>
      <c r="J276" t="s">
        <v>41</v>
      </c>
      <c r="K276">
        <v>0</v>
      </c>
      <c r="L276">
        <v>0</v>
      </c>
      <c r="M276">
        <v>0</v>
      </c>
      <c r="N276">
        <v>62.729999999999897</v>
      </c>
      <c r="O276">
        <v>66.367806254038399</v>
      </c>
      <c r="P276" t="s">
        <v>41</v>
      </c>
      <c r="Q276">
        <v>0</v>
      </c>
      <c r="R276" t="s">
        <v>50</v>
      </c>
      <c r="S276">
        <v>1946</v>
      </c>
      <c r="T276" t="s">
        <v>40</v>
      </c>
      <c r="U276" t="s">
        <v>40</v>
      </c>
      <c r="V276" t="s">
        <v>40</v>
      </c>
      <c r="W276" t="s">
        <v>40</v>
      </c>
      <c r="X276" t="s">
        <v>41</v>
      </c>
      <c r="Y276" t="s">
        <v>41</v>
      </c>
      <c r="Z276" t="s">
        <v>43</v>
      </c>
      <c r="AA276">
        <v>290</v>
      </c>
      <c r="AB276" t="s">
        <v>582</v>
      </c>
      <c r="AC276" t="s">
        <v>535</v>
      </c>
      <c r="AD276" t="s">
        <v>535</v>
      </c>
    </row>
    <row r="277" spans="1:30" x14ac:dyDescent="0.3">
      <c r="A277">
        <v>27042</v>
      </c>
      <c r="B277">
        <v>27042</v>
      </c>
      <c r="C277">
        <v>1</v>
      </c>
      <c r="D277" t="s">
        <v>591</v>
      </c>
      <c r="E277" t="s">
        <v>591</v>
      </c>
      <c r="F277" t="s">
        <v>102</v>
      </c>
      <c r="G277" t="s">
        <v>102</v>
      </c>
      <c r="H277" t="s">
        <v>39</v>
      </c>
      <c r="I277" t="s">
        <v>40</v>
      </c>
      <c r="J277" t="s">
        <v>41</v>
      </c>
      <c r="K277">
        <v>0</v>
      </c>
      <c r="L277">
        <v>0</v>
      </c>
      <c r="M277">
        <v>0</v>
      </c>
      <c r="N277">
        <v>284</v>
      </c>
      <c r="O277">
        <v>286.10733563105703</v>
      </c>
      <c r="P277" t="s">
        <v>41</v>
      </c>
      <c r="Q277">
        <v>0</v>
      </c>
      <c r="R277" t="s">
        <v>50</v>
      </c>
      <c r="S277">
        <v>1972</v>
      </c>
      <c r="T277" t="s">
        <v>40</v>
      </c>
      <c r="U277" t="s">
        <v>40</v>
      </c>
      <c r="V277" t="s">
        <v>40</v>
      </c>
      <c r="W277" t="s">
        <v>40</v>
      </c>
      <c r="X277" t="s">
        <v>41</v>
      </c>
      <c r="Y277" t="s">
        <v>41</v>
      </c>
      <c r="Z277" t="s">
        <v>43</v>
      </c>
      <c r="AA277">
        <v>290</v>
      </c>
      <c r="AB277" t="s">
        <v>582</v>
      </c>
      <c r="AC277" t="s">
        <v>535</v>
      </c>
      <c r="AD277" t="s">
        <v>535</v>
      </c>
    </row>
    <row r="278" spans="1:30" x14ac:dyDescent="0.3">
      <c r="A278">
        <v>27045</v>
      </c>
      <c r="B278">
        <v>27045</v>
      </c>
      <c r="C278">
        <v>1</v>
      </c>
      <c r="D278" t="s">
        <v>592</v>
      </c>
      <c r="E278" t="s">
        <v>592</v>
      </c>
      <c r="F278" t="s">
        <v>102</v>
      </c>
      <c r="G278" t="s">
        <v>102</v>
      </c>
      <c r="H278" t="s">
        <v>39</v>
      </c>
      <c r="I278" t="s">
        <v>40</v>
      </c>
      <c r="J278" t="s">
        <v>41</v>
      </c>
      <c r="K278">
        <v>0</v>
      </c>
      <c r="L278">
        <v>0</v>
      </c>
      <c r="M278">
        <v>0</v>
      </c>
      <c r="N278">
        <v>104.189999999999</v>
      </c>
      <c r="O278">
        <v>80.807407065403396</v>
      </c>
      <c r="P278" t="s">
        <v>41</v>
      </c>
      <c r="Q278">
        <v>0</v>
      </c>
      <c r="R278" t="s">
        <v>50</v>
      </c>
      <c r="S278">
        <v>1980</v>
      </c>
      <c r="T278" t="s">
        <v>40</v>
      </c>
      <c r="U278" t="s">
        <v>40</v>
      </c>
      <c r="V278" t="s">
        <v>40</v>
      </c>
      <c r="W278" t="s">
        <v>40</v>
      </c>
      <c r="X278" t="s">
        <v>41</v>
      </c>
      <c r="Y278" t="s">
        <v>41</v>
      </c>
      <c r="Z278" t="s">
        <v>43</v>
      </c>
      <c r="AA278">
        <v>290</v>
      </c>
      <c r="AB278" t="s">
        <v>582</v>
      </c>
      <c r="AC278" t="s">
        <v>535</v>
      </c>
      <c r="AD278" t="s">
        <v>535</v>
      </c>
    </row>
    <row r="279" spans="1:30" x14ac:dyDescent="0.3">
      <c r="A279">
        <v>27053</v>
      </c>
      <c r="B279">
        <v>27053</v>
      </c>
      <c r="C279">
        <v>1</v>
      </c>
      <c r="D279" t="s">
        <v>593</v>
      </c>
      <c r="E279" t="s">
        <v>593</v>
      </c>
      <c r="F279" t="s">
        <v>102</v>
      </c>
      <c r="G279" t="s">
        <v>102</v>
      </c>
      <c r="H279" t="s">
        <v>39</v>
      </c>
      <c r="I279" t="s">
        <v>40</v>
      </c>
      <c r="J279" t="s">
        <v>41</v>
      </c>
      <c r="K279">
        <v>0</v>
      </c>
      <c r="L279">
        <v>0</v>
      </c>
      <c r="M279">
        <v>0</v>
      </c>
      <c r="N279">
        <v>20.66</v>
      </c>
      <c r="O279">
        <v>21.595561615564801</v>
      </c>
      <c r="P279" t="s">
        <v>41</v>
      </c>
      <c r="Q279">
        <v>0</v>
      </c>
      <c r="R279" t="s">
        <v>50</v>
      </c>
      <c r="S279">
        <v>1964</v>
      </c>
      <c r="T279" t="s">
        <v>40</v>
      </c>
      <c r="U279" t="s">
        <v>40</v>
      </c>
      <c r="V279" t="s">
        <v>40</v>
      </c>
      <c r="W279" t="s">
        <v>40</v>
      </c>
      <c r="X279" t="s">
        <v>41</v>
      </c>
      <c r="Y279" t="s">
        <v>41</v>
      </c>
      <c r="Z279" t="s">
        <v>43</v>
      </c>
      <c r="AA279">
        <v>290</v>
      </c>
      <c r="AB279" t="s">
        <v>582</v>
      </c>
      <c r="AC279" t="s">
        <v>535</v>
      </c>
      <c r="AD279" t="s">
        <v>535</v>
      </c>
    </row>
    <row r="280" spans="1:30" x14ac:dyDescent="0.3">
      <c r="A280">
        <v>27059</v>
      </c>
      <c r="B280">
        <v>27059</v>
      </c>
      <c r="C280">
        <v>1</v>
      </c>
      <c r="D280" t="s">
        <v>594</v>
      </c>
      <c r="E280" t="s">
        <v>594</v>
      </c>
      <c r="F280" t="s">
        <v>102</v>
      </c>
      <c r="G280" t="s">
        <v>102</v>
      </c>
      <c r="H280" t="s">
        <v>39</v>
      </c>
      <c r="I280" t="s">
        <v>40</v>
      </c>
      <c r="J280" t="s">
        <v>41</v>
      </c>
      <c r="K280">
        <v>0</v>
      </c>
      <c r="L280">
        <v>0</v>
      </c>
      <c r="M280">
        <v>0</v>
      </c>
      <c r="N280">
        <v>40.869999999999898</v>
      </c>
      <c r="O280">
        <v>44.942076678649002</v>
      </c>
      <c r="P280" t="s">
        <v>41</v>
      </c>
      <c r="Q280">
        <v>0</v>
      </c>
      <c r="R280" t="s">
        <v>50</v>
      </c>
      <c r="S280">
        <v>1960</v>
      </c>
      <c r="T280" t="s">
        <v>40</v>
      </c>
      <c r="U280" t="s">
        <v>40</v>
      </c>
      <c r="V280" t="s">
        <v>40</v>
      </c>
      <c r="W280" t="s">
        <v>40</v>
      </c>
      <c r="X280" t="s">
        <v>41</v>
      </c>
      <c r="Y280" t="s">
        <v>41</v>
      </c>
      <c r="Z280" t="s">
        <v>43</v>
      </c>
      <c r="AA280">
        <v>290</v>
      </c>
      <c r="AB280" t="s">
        <v>584</v>
      </c>
      <c r="AC280" t="s">
        <v>535</v>
      </c>
      <c r="AD280" t="s">
        <v>535</v>
      </c>
    </row>
    <row r="281" spans="1:30" x14ac:dyDescent="0.3">
      <c r="A281">
        <v>27061</v>
      </c>
      <c r="B281">
        <v>27061</v>
      </c>
      <c r="C281">
        <v>1</v>
      </c>
      <c r="D281" t="s">
        <v>595</v>
      </c>
      <c r="E281" t="s">
        <v>595</v>
      </c>
      <c r="F281" t="s">
        <v>102</v>
      </c>
      <c r="G281" t="s">
        <v>102</v>
      </c>
      <c r="H281" t="s">
        <v>39</v>
      </c>
      <c r="I281" t="s">
        <v>40</v>
      </c>
      <c r="J281" t="s">
        <v>41</v>
      </c>
      <c r="K281">
        <v>0</v>
      </c>
      <c r="L281">
        <v>0</v>
      </c>
      <c r="M281">
        <v>0</v>
      </c>
      <c r="N281">
        <v>80.939999999999898</v>
      </c>
      <c r="O281">
        <v>73.687406089187704</v>
      </c>
      <c r="P281" t="s">
        <v>41</v>
      </c>
      <c r="Q281">
        <v>0</v>
      </c>
      <c r="R281" t="s">
        <v>50</v>
      </c>
      <c r="S281">
        <v>1970</v>
      </c>
      <c r="T281" t="s">
        <v>40</v>
      </c>
      <c r="U281" t="s">
        <v>40</v>
      </c>
      <c r="V281" t="s">
        <v>40</v>
      </c>
      <c r="W281" t="s">
        <v>40</v>
      </c>
      <c r="X281" t="s">
        <v>41</v>
      </c>
      <c r="Y281" t="s">
        <v>41</v>
      </c>
      <c r="Z281" t="s">
        <v>43</v>
      </c>
      <c r="AA281">
        <v>290</v>
      </c>
      <c r="AB281" t="s">
        <v>582</v>
      </c>
      <c r="AC281" t="s">
        <v>535</v>
      </c>
      <c r="AD281" t="s">
        <v>535</v>
      </c>
    </row>
    <row r="282" spans="1:30" x14ac:dyDescent="0.3">
      <c r="A282">
        <v>27062</v>
      </c>
      <c r="B282">
        <v>27062</v>
      </c>
      <c r="C282">
        <v>1</v>
      </c>
      <c r="D282" t="s">
        <v>596</v>
      </c>
      <c r="E282" t="s">
        <v>596</v>
      </c>
      <c r="F282" t="s">
        <v>102</v>
      </c>
      <c r="G282" t="s">
        <v>102</v>
      </c>
      <c r="H282" t="s">
        <v>39</v>
      </c>
      <c r="I282" t="s">
        <v>40</v>
      </c>
      <c r="J282" t="s">
        <v>41</v>
      </c>
      <c r="K282">
        <v>0</v>
      </c>
      <c r="L282">
        <v>0</v>
      </c>
      <c r="M282">
        <v>0</v>
      </c>
      <c r="N282">
        <v>32.229999999999897</v>
      </c>
      <c r="O282">
        <v>31.791736353788099</v>
      </c>
      <c r="P282" t="s">
        <v>41</v>
      </c>
      <c r="Q282">
        <v>0</v>
      </c>
      <c r="R282" t="s">
        <v>50</v>
      </c>
      <c r="S282">
        <v>1970</v>
      </c>
      <c r="T282" t="s">
        <v>40</v>
      </c>
      <c r="U282" t="s">
        <v>40</v>
      </c>
      <c r="V282" t="s">
        <v>40</v>
      </c>
      <c r="W282" t="s">
        <v>40</v>
      </c>
      <c r="X282" t="s">
        <v>41</v>
      </c>
      <c r="Y282" t="s">
        <v>41</v>
      </c>
      <c r="Z282" t="s">
        <v>43</v>
      </c>
      <c r="AA282">
        <v>290</v>
      </c>
      <c r="AB282" t="s">
        <v>582</v>
      </c>
      <c r="AC282" t="s">
        <v>535</v>
      </c>
      <c r="AD282" t="s">
        <v>535</v>
      </c>
    </row>
    <row r="283" spans="1:30" x14ac:dyDescent="0.3">
      <c r="A283">
        <v>27064</v>
      </c>
      <c r="B283">
        <v>27064</v>
      </c>
      <c r="C283">
        <v>1</v>
      </c>
      <c r="D283" t="s">
        <v>597</v>
      </c>
      <c r="E283" t="s">
        <v>597</v>
      </c>
      <c r="F283" t="s">
        <v>102</v>
      </c>
      <c r="G283" t="s">
        <v>102</v>
      </c>
      <c r="H283" t="s">
        <v>39</v>
      </c>
      <c r="I283" t="s">
        <v>40</v>
      </c>
      <c r="J283" t="s">
        <v>41</v>
      </c>
      <c r="K283">
        <v>0</v>
      </c>
      <c r="L283">
        <v>0</v>
      </c>
      <c r="M283">
        <v>0</v>
      </c>
      <c r="N283">
        <v>25.6</v>
      </c>
      <c r="O283">
        <v>86.093857188434797</v>
      </c>
      <c r="P283" t="s">
        <v>41</v>
      </c>
      <c r="Q283">
        <v>0</v>
      </c>
      <c r="R283" t="s">
        <v>50</v>
      </c>
      <c r="S283">
        <v>1977</v>
      </c>
      <c r="T283" t="s">
        <v>40</v>
      </c>
      <c r="U283" t="s">
        <v>40</v>
      </c>
      <c r="V283" t="s">
        <v>40</v>
      </c>
      <c r="W283" t="s">
        <v>40</v>
      </c>
      <c r="X283" t="s">
        <v>41</v>
      </c>
      <c r="Y283" t="s">
        <v>41</v>
      </c>
      <c r="Z283" t="s">
        <v>43</v>
      </c>
      <c r="AA283">
        <v>290</v>
      </c>
      <c r="AB283" t="s">
        <v>582</v>
      </c>
      <c r="AC283" t="s">
        <v>535</v>
      </c>
      <c r="AD283" t="s">
        <v>535</v>
      </c>
    </row>
    <row r="284" spans="1:30" x14ac:dyDescent="0.3">
      <c r="A284">
        <v>27083</v>
      </c>
      <c r="B284">
        <v>27083</v>
      </c>
      <c r="C284">
        <v>1</v>
      </c>
      <c r="D284" t="s">
        <v>598</v>
      </c>
      <c r="E284" t="s">
        <v>598</v>
      </c>
      <c r="F284" t="s">
        <v>102</v>
      </c>
      <c r="G284" t="s">
        <v>102</v>
      </c>
      <c r="H284" t="s">
        <v>39</v>
      </c>
      <c r="I284" t="s">
        <v>40</v>
      </c>
      <c r="J284" t="s">
        <v>41</v>
      </c>
      <c r="K284">
        <v>0</v>
      </c>
      <c r="L284">
        <v>0</v>
      </c>
      <c r="M284">
        <v>0</v>
      </c>
      <c r="N284">
        <v>20.719999999999899</v>
      </c>
      <c r="O284">
        <v>202.928245108423</v>
      </c>
      <c r="P284" t="s">
        <v>41</v>
      </c>
      <c r="Q284">
        <v>0</v>
      </c>
      <c r="R284" t="s">
        <v>50</v>
      </c>
      <c r="S284">
        <v>1972</v>
      </c>
      <c r="T284" t="s">
        <v>40</v>
      </c>
      <c r="U284" t="s">
        <v>40</v>
      </c>
      <c r="V284" t="s">
        <v>40</v>
      </c>
      <c r="W284" t="s">
        <v>40</v>
      </c>
      <c r="X284" t="s">
        <v>41</v>
      </c>
      <c r="Y284" t="s">
        <v>41</v>
      </c>
      <c r="Z284" t="s">
        <v>43</v>
      </c>
      <c r="AA284">
        <v>290</v>
      </c>
      <c r="AB284" t="s">
        <v>582</v>
      </c>
      <c r="AC284" t="s">
        <v>535</v>
      </c>
      <c r="AD284" t="s">
        <v>535</v>
      </c>
    </row>
    <row r="285" spans="1:30" x14ac:dyDescent="0.3">
      <c r="A285">
        <v>27101</v>
      </c>
      <c r="B285">
        <v>27101</v>
      </c>
      <c r="C285">
        <v>1</v>
      </c>
      <c r="D285" t="s">
        <v>599</v>
      </c>
      <c r="E285" t="s">
        <v>599</v>
      </c>
      <c r="F285" t="s">
        <v>102</v>
      </c>
      <c r="G285" t="s">
        <v>102</v>
      </c>
      <c r="H285" t="s">
        <v>39</v>
      </c>
      <c r="I285" t="s">
        <v>40</v>
      </c>
      <c r="J285" t="s">
        <v>41</v>
      </c>
      <c r="K285">
        <v>0</v>
      </c>
      <c r="L285">
        <v>0</v>
      </c>
      <c r="M285">
        <v>0</v>
      </c>
      <c r="N285">
        <v>89.819999999999894</v>
      </c>
      <c r="O285">
        <v>36.427013149285798</v>
      </c>
      <c r="P285" t="s">
        <v>41</v>
      </c>
      <c r="Q285">
        <v>0</v>
      </c>
      <c r="R285" t="s">
        <v>50</v>
      </c>
      <c r="S285">
        <v>1970</v>
      </c>
      <c r="T285" t="s">
        <v>40</v>
      </c>
      <c r="U285" t="s">
        <v>40</v>
      </c>
      <c r="V285" t="s">
        <v>40</v>
      </c>
      <c r="W285" t="s">
        <v>40</v>
      </c>
      <c r="X285" t="s">
        <v>41</v>
      </c>
      <c r="Y285" t="s">
        <v>41</v>
      </c>
      <c r="Z285" t="s">
        <v>43</v>
      </c>
      <c r="AA285">
        <v>290</v>
      </c>
      <c r="AB285" t="s">
        <v>582</v>
      </c>
      <c r="AC285" t="s">
        <v>535</v>
      </c>
      <c r="AD285" t="s">
        <v>535</v>
      </c>
    </row>
    <row r="286" spans="1:30" x14ac:dyDescent="0.3">
      <c r="A286">
        <v>27111</v>
      </c>
      <c r="B286">
        <v>27111</v>
      </c>
      <c r="C286">
        <v>1</v>
      </c>
      <c r="D286" t="s">
        <v>600</v>
      </c>
      <c r="E286" t="s">
        <v>600</v>
      </c>
      <c r="F286" t="s">
        <v>102</v>
      </c>
      <c r="G286" t="s">
        <v>102</v>
      </c>
      <c r="H286" t="s">
        <v>39</v>
      </c>
      <c r="I286" t="s">
        <v>40</v>
      </c>
      <c r="J286" t="s">
        <v>41</v>
      </c>
      <c r="K286">
        <v>0</v>
      </c>
      <c r="L286">
        <v>0</v>
      </c>
      <c r="M286">
        <v>0</v>
      </c>
      <c r="N286">
        <v>64.329999999999899</v>
      </c>
      <c r="O286">
        <v>68.2413444383117</v>
      </c>
      <c r="P286" t="s">
        <v>41</v>
      </c>
      <c r="Q286">
        <v>0</v>
      </c>
      <c r="R286" t="s">
        <v>50</v>
      </c>
      <c r="S286">
        <v>1979</v>
      </c>
      <c r="T286" t="s">
        <v>40</v>
      </c>
      <c r="U286" t="s">
        <v>40</v>
      </c>
      <c r="V286" t="s">
        <v>40</v>
      </c>
      <c r="W286" t="s">
        <v>40</v>
      </c>
      <c r="X286" t="s">
        <v>41</v>
      </c>
      <c r="Y286" t="s">
        <v>41</v>
      </c>
      <c r="Z286" t="s">
        <v>43</v>
      </c>
      <c r="AA286">
        <v>290</v>
      </c>
      <c r="AB286" t="s">
        <v>582</v>
      </c>
      <c r="AC286" t="s">
        <v>535</v>
      </c>
      <c r="AD286" t="s">
        <v>535</v>
      </c>
    </row>
    <row r="287" spans="1:30" x14ac:dyDescent="0.3">
      <c r="A287">
        <v>27112</v>
      </c>
      <c r="B287">
        <v>27112</v>
      </c>
      <c r="C287">
        <v>1</v>
      </c>
      <c r="D287" t="s">
        <v>601</v>
      </c>
      <c r="E287" t="s">
        <v>601</v>
      </c>
      <c r="F287" t="s">
        <v>102</v>
      </c>
      <c r="G287" t="s">
        <v>102</v>
      </c>
      <c r="H287" t="s">
        <v>39</v>
      </c>
      <c r="I287" t="s">
        <v>40</v>
      </c>
      <c r="J287" t="s">
        <v>41</v>
      </c>
      <c r="K287">
        <v>0</v>
      </c>
      <c r="L287">
        <v>0</v>
      </c>
      <c r="M287">
        <v>0</v>
      </c>
      <c r="N287">
        <v>6.6</v>
      </c>
      <c r="O287">
        <v>16.774426569804699</v>
      </c>
      <c r="P287" t="s">
        <v>41</v>
      </c>
      <c r="Q287">
        <v>0</v>
      </c>
      <c r="R287" t="s">
        <v>50</v>
      </c>
      <c r="S287">
        <v>1977</v>
      </c>
      <c r="T287" t="s">
        <v>40</v>
      </c>
      <c r="U287" t="s">
        <v>40</v>
      </c>
      <c r="V287" t="s">
        <v>40</v>
      </c>
      <c r="W287" t="s">
        <v>40</v>
      </c>
      <c r="X287" t="s">
        <v>41</v>
      </c>
      <c r="Y287" t="s">
        <v>41</v>
      </c>
      <c r="Z287" t="s">
        <v>43</v>
      </c>
      <c r="AA287">
        <v>290</v>
      </c>
      <c r="AB287" t="s">
        <v>582</v>
      </c>
      <c r="AC287" t="s">
        <v>535</v>
      </c>
      <c r="AD287" t="s">
        <v>535</v>
      </c>
    </row>
    <row r="288" spans="1:30" x14ac:dyDescent="0.3">
      <c r="A288">
        <v>27116</v>
      </c>
      <c r="B288">
        <v>27116</v>
      </c>
      <c r="C288">
        <v>1</v>
      </c>
      <c r="D288" t="s">
        <v>602</v>
      </c>
      <c r="E288" t="s">
        <v>602</v>
      </c>
      <c r="F288" t="s">
        <v>102</v>
      </c>
      <c r="G288" t="s">
        <v>102</v>
      </c>
      <c r="H288" t="s">
        <v>39</v>
      </c>
      <c r="I288" t="s">
        <v>40</v>
      </c>
      <c r="J288" t="s">
        <v>41</v>
      </c>
      <c r="K288">
        <v>0</v>
      </c>
      <c r="L288">
        <v>0</v>
      </c>
      <c r="M288">
        <v>0</v>
      </c>
      <c r="N288">
        <v>19.670000000000002</v>
      </c>
      <c r="O288">
        <v>24.067955262225201</v>
      </c>
      <c r="P288" t="s">
        <v>41</v>
      </c>
      <c r="Q288">
        <v>0</v>
      </c>
      <c r="R288" t="s">
        <v>50</v>
      </c>
      <c r="S288">
        <v>1962</v>
      </c>
      <c r="T288" t="s">
        <v>40</v>
      </c>
      <c r="U288" t="s">
        <v>40</v>
      </c>
      <c r="V288" t="s">
        <v>40</v>
      </c>
      <c r="W288" t="s">
        <v>40</v>
      </c>
      <c r="X288" t="s">
        <v>41</v>
      </c>
      <c r="Y288" t="s">
        <v>41</v>
      </c>
      <c r="Z288" t="s">
        <v>43</v>
      </c>
      <c r="AA288">
        <v>290</v>
      </c>
      <c r="AB288" t="s">
        <v>603</v>
      </c>
      <c r="AC288" t="s">
        <v>535</v>
      </c>
      <c r="AD288" t="s">
        <v>535</v>
      </c>
    </row>
    <row r="289" spans="1:30" x14ac:dyDescent="0.3">
      <c r="A289">
        <v>301744</v>
      </c>
      <c r="B289">
        <v>301744</v>
      </c>
      <c r="C289">
        <v>1</v>
      </c>
      <c r="D289" t="s">
        <v>604</v>
      </c>
      <c r="E289" t="s">
        <v>604</v>
      </c>
      <c r="F289" t="s">
        <v>102</v>
      </c>
      <c r="G289" t="s">
        <v>102</v>
      </c>
      <c r="H289" t="s">
        <v>39</v>
      </c>
      <c r="I289" t="s">
        <v>40</v>
      </c>
      <c r="J289" t="s">
        <v>41</v>
      </c>
      <c r="K289">
        <v>0</v>
      </c>
      <c r="L289">
        <v>0</v>
      </c>
      <c r="M289">
        <v>0</v>
      </c>
      <c r="N289">
        <v>0</v>
      </c>
      <c r="O289">
        <v>1.3546087704129799</v>
      </c>
      <c r="P289" t="s">
        <v>41</v>
      </c>
      <c r="Q289">
        <v>0</v>
      </c>
      <c r="R289" t="s">
        <v>50</v>
      </c>
      <c r="S289">
        <v>0</v>
      </c>
      <c r="T289" t="s">
        <v>40</v>
      </c>
      <c r="U289" t="s">
        <v>40</v>
      </c>
      <c r="V289" t="s">
        <v>40</v>
      </c>
      <c r="W289" t="s">
        <v>40</v>
      </c>
      <c r="X289" t="s">
        <v>41</v>
      </c>
      <c r="Y289" t="s">
        <v>41</v>
      </c>
      <c r="Z289" t="s">
        <v>43</v>
      </c>
      <c r="AA289">
        <v>290</v>
      </c>
      <c r="AB289" t="s">
        <v>577</v>
      </c>
      <c r="AC289" t="s">
        <v>535</v>
      </c>
      <c r="AD289" t="s">
        <v>535</v>
      </c>
    </row>
    <row r="290" spans="1:30" x14ac:dyDescent="0.3">
      <c r="A290">
        <v>301758</v>
      </c>
      <c r="B290">
        <v>301758</v>
      </c>
      <c r="C290">
        <v>1</v>
      </c>
      <c r="D290" t="s">
        <v>605</v>
      </c>
      <c r="E290" t="s">
        <v>605</v>
      </c>
      <c r="F290" t="s">
        <v>102</v>
      </c>
      <c r="G290" t="s">
        <v>102</v>
      </c>
      <c r="H290" t="s">
        <v>39</v>
      </c>
      <c r="I290" t="s">
        <v>40</v>
      </c>
      <c r="J290" t="s">
        <v>41</v>
      </c>
      <c r="K290">
        <v>0</v>
      </c>
      <c r="L290">
        <v>0</v>
      </c>
      <c r="M290">
        <v>0</v>
      </c>
      <c r="N290">
        <v>0</v>
      </c>
      <c r="O290">
        <v>1073.8027184785201</v>
      </c>
      <c r="P290" t="s">
        <v>41</v>
      </c>
      <c r="Q290">
        <v>0</v>
      </c>
      <c r="R290" t="s">
        <v>50</v>
      </c>
      <c r="S290">
        <v>0</v>
      </c>
      <c r="T290" t="s">
        <v>40</v>
      </c>
      <c r="U290" t="s">
        <v>40</v>
      </c>
      <c r="V290" t="s">
        <v>40</v>
      </c>
      <c r="W290" t="s">
        <v>40</v>
      </c>
      <c r="X290" t="s">
        <v>41</v>
      </c>
      <c r="Y290" t="s">
        <v>41</v>
      </c>
      <c r="Z290" t="s">
        <v>43</v>
      </c>
      <c r="AA290">
        <v>290</v>
      </c>
      <c r="AB290" t="s">
        <v>577</v>
      </c>
      <c r="AC290" t="s">
        <v>535</v>
      </c>
      <c r="AD290" t="s">
        <v>535</v>
      </c>
    </row>
    <row r="291" spans="1:30" x14ac:dyDescent="0.3">
      <c r="A291">
        <v>301769</v>
      </c>
      <c r="B291">
        <v>301769</v>
      </c>
      <c r="C291">
        <v>1</v>
      </c>
      <c r="D291" t="s">
        <v>606</v>
      </c>
      <c r="E291" t="s">
        <v>606</v>
      </c>
      <c r="F291" t="s">
        <v>102</v>
      </c>
      <c r="G291" t="s">
        <v>102</v>
      </c>
      <c r="H291" t="s">
        <v>39</v>
      </c>
      <c r="I291" t="s">
        <v>40</v>
      </c>
      <c r="J291" t="s">
        <v>41</v>
      </c>
      <c r="K291">
        <v>0</v>
      </c>
      <c r="L291">
        <v>0</v>
      </c>
      <c r="M291">
        <v>0</v>
      </c>
      <c r="N291">
        <v>0</v>
      </c>
      <c r="O291">
        <v>1.23852483525774</v>
      </c>
      <c r="P291" t="s">
        <v>41</v>
      </c>
      <c r="Q291">
        <v>0</v>
      </c>
      <c r="R291" t="s">
        <v>50</v>
      </c>
      <c r="S291">
        <v>0</v>
      </c>
      <c r="T291" t="s">
        <v>40</v>
      </c>
      <c r="U291" t="s">
        <v>40</v>
      </c>
      <c r="V291" t="s">
        <v>40</v>
      </c>
      <c r="W291" t="s">
        <v>40</v>
      </c>
      <c r="X291" t="s">
        <v>41</v>
      </c>
      <c r="Y291" t="s">
        <v>41</v>
      </c>
      <c r="Z291" t="s">
        <v>43</v>
      </c>
      <c r="AA291">
        <v>290</v>
      </c>
      <c r="AB291" t="s">
        <v>582</v>
      </c>
      <c r="AC291" t="s">
        <v>535</v>
      </c>
      <c r="AD291" t="s">
        <v>535</v>
      </c>
    </row>
    <row r="292" spans="1:30" x14ac:dyDescent="0.3">
      <c r="A292">
        <v>301779</v>
      </c>
      <c r="B292">
        <v>301779</v>
      </c>
      <c r="C292">
        <v>1</v>
      </c>
      <c r="D292" t="s">
        <v>607</v>
      </c>
      <c r="E292" t="s">
        <v>607</v>
      </c>
      <c r="F292" t="s">
        <v>102</v>
      </c>
      <c r="G292" t="s">
        <v>102</v>
      </c>
      <c r="H292" t="s">
        <v>39</v>
      </c>
      <c r="I292" t="s">
        <v>40</v>
      </c>
      <c r="J292" t="s">
        <v>41</v>
      </c>
      <c r="K292">
        <v>0</v>
      </c>
      <c r="L292">
        <v>0</v>
      </c>
      <c r="M292">
        <v>0</v>
      </c>
      <c r="N292">
        <v>0</v>
      </c>
      <c r="O292">
        <v>42.748199282918598</v>
      </c>
      <c r="P292" t="s">
        <v>41</v>
      </c>
      <c r="Q292">
        <v>0</v>
      </c>
      <c r="R292" t="s">
        <v>50</v>
      </c>
      <c r="S292">
        <v>0</v>
      </c>
      <c r="T292" t="s">
        <v>40</v>
      </c>
      <c r="U292" t="s">
        <v>40</v>
      </c>
      <c r="V292" t="s">
        <v>40</v>
      </c>
      <c r="W292" t="s">
        <v>40</v>
      </c>
      <c r="X292" t="s">
        <v>41</v>
      </c>
      <c r="Y292" t="s">
        <v>41</v>
      </c>
      <c r="Z292" t="s">
        <v>43</v>
      </c>
      <c r="AA292">
        <v>290</v>
      </c>
      <c r="AB292" t="s">
        <v>582</v>
      </c>
      <c r="AC292" t="s">
        <v>535</v>
      </c>
      <c r="AD292" t="s">
        <v>535</v>
      </c>
    </row>
    <row r="293" spans="1:30" x14ac:dyDescent="0.3">
      <c r="A293">
        <v>301780</v>
      </c>
      <c r="B293">
        <v>301780</v>
      </c>
      <c r="C293">
        <v>1</v>
      </c>
      <c r="D293" t="s">
        <v>608</v>
      </c>
      <c r="E293" t="s">
        <v>608</v>
      </c>
      <c r="F293" t="s">
        <v>102</v>
      </c>
      <c r="G293" t="s">
        <v>102</v>
      </c>
      <c r="H293" t="s">
        <v>39</v>
      </c>
      <c r="I293" t="s">
        <v>40</v>
      </c>
      <c r="J293" t="s">
        <v>41</v>
      </c>
      <c r="K293">
        <v>0</v>
      </c>
      <c r="L293">
        <v>0</v>
      </c>
      <c r="M293">
        <v>0</v>
      </c>
      <c r="N293">
        <v>0</v>
      </c>
      <c r="O293">
        <v>1.86887709781106</v>
      </c>
      <c r="P293" t="s">
        <v>41</v>
      </c>
      <c r="Q293">
        <v>0</v>
      </c>
      <c r="R293" t="s">
        <v>50</v>
      </c>
      <c r="S293">
        <v>0</v>
      </c>
      <c r="T293" t="s">
        <v>40</v>
      </c>
      <c r="U293" t="s">
        <v>40</v>
      </c>
      <c r="V293" t="s">
        <v>40</v>
      </c>
      <c r="W293" t="s">
        <v>40</v>
      </c>
      <c r="X293" t="s">
        <v>41</v>
      </c>
      <c r="Y293" t="s">
        <v>41</v>
      </c>
      <c r="Z293" t="s">
        <v>43</v>
      </c>
      <c r="AA293">
        <v>290</v>
      </c>
      <c r="AB293" t="s">
        <v>582</v>
      </c>
      <c r="AC293" t="s">
        <v>535</v>
      </c>
      <c r="AD293" t="s">
        <v>535</v>
      </c>
    </row>
    <row r="294" spans="1:30" x14ac:dyDescent="0.3">
      <c r="A294">
        <v>301781</v>
      </c>
      <c r="B294">
        <v>301781</v>
      </c>
      <c r="C294">
        <v>1</v>
      </c>
      <c r="D294" t="s">
        <v>609</v>
      </c>
      <c r="E294" t="s">
        <v>609</v>
      </c>
      <c r="F294" t="s">
        <v>102</v>
      </c>
      <c r="G294" t="s">
        <v>102</v>
      </c>
      <c r="H294" t="s">
        <v>39</v>
      </c>
      <c r="I294" t="s">
        <v>40</v>
      </c>
      <c r="J294" t="s">
        <v>41</v>
      </c>
      <c r="K294">
        <v>0</v>
      </c>
      <c r="L294">
        <v>0</v>
      </c>
      <c r="M294">
        <v>0</v>
      </c>
      <c r="N294">
        <v>0</v>
      </c>
      <c r="O294">
        <v>15.323736097228901</v>
      </c>
      <c r="P294" t="s">
        <v>41</v>
      </c>
      <c r="Q294">
        <v>0</v>
      </c>
      <c r="R294" t="s">
        <v>50</v>
      </c>
      <c r="S294">
        <v>0</v>
      </c>
      <c r="T294" t="s">
        <v>40</v>
      </c>
      <c r="U294" t="s">
        <v>40</v>
      </c>
      <c r="V294" t="s">
        <v>40</v>
      </c>
      <c r="W294" t="s">
        <v>40</v>
      </c>
      <c r="X294" t="s">
        <v>41</v>
      </c>
      <c r="Y294" t="s">
        <v>41</v>
      </c>
      <c r="Z294" t="s">
        <v>43</v>
      </c>
      <c r="AA294">
        <v>290</v>
      </c>
      <c r="AB294" t="s">
        <v>534</v>
      </c>
      <c r="AC294" t="s">
        <v>535</v>
      </c>
      <c r="AD294" t="s">
        <v>535</v>
      </c>
    </row>
    <row r="295" spans="1:30" x14ac:dyDescent="0.3">
      <c r="A295">
        <v>301823</v>
      </c>
      <c r="B295">
        <v>301823</v>
      </c>
      <c r="C295">
        <v>1</v>
      </c>
      <c r="D295" t="s">
        <v>610</v>
      </c>
      <c r="E295" t="s">
        <v>610</v>
      </c>
      <c r="F295" t="s">
        <v>102</v>
      </c>
      <c r="G295" t="s">
        <v>102</v>
      </c>
      <c r="H295" t="s">
        <v>39</v>
      </c>
      <c r="I295" t="s">
        <v>40</v>
      </c>
      <c r="J295" t="s">
        <v>41</v>
      </c>
      <c r="K295">
        <v>0</v>
      </c>
      <c r="L295">
        <v>0</v>
      </c>
      <c r="M295">
        <v>0</v>
      </c>
      <c r="N295">
        <v>0</v>
      </c>
      <c r="O295">
        <v>20.3203310623114</v>
      </c>
      <c r="P295" t="s">
        <v>41</v>
      </c>
      <c r="Q295">
        <v>0</v>
      </c>
      <c r="R295" t="s">
        <v>50</v>
      </c>
      <c r="S295">
        <v>0</v>
      </c>
      <c r="T295" t="s">
        <v>40</v>
      </c>
      <c r="U295" t="s">
        <v>40</v>
      </c>
      <c r="V295" t="s">
        <v>40</v>
      </c>
      <c r="W295" t="s">
        <v>40</v>
      </c>
      <c r="X295" t="s">
        <v>41</v>
      </c>
      <c r="Y295" t="s">
        <v>41</v>
      </c>
      <c r="Z295" t="s">
        <v>43</v>
      </c>
      <c r="AA295">
        <v>290</v>
      </c>
      <c r="AB295" t="s">
        <v>582</v>
      </c>
      <c r="AC295" t="s">
        <v>535</v>
      </c>
      <c r="AD295" t="s">
        <v>535</v>
      </c>
    </row>
    <row r="296" spans="1:30" x14ac:dyDescent="0.3">
      <c r="A296">
        <v>555705569</v>
      </c>
      <c r="B296">
        <v>555705569</v>
      </c>
      <c r="C296">
        <v>1</v>
      </c>
      <c r="D296" t="s">
        <v>611</v>
      </c>
      <c r="E296" t="s">
        <v>611</v>
      </c>
      <c r="F296" t="s">
        <v>123</v>
      </c>
      <c r="G296" t="s">
        <v>123</v>
      </c>
      <c r="H296" t="s">
        <v>39</v>
      </c>
      <c r="I296" t="s">
        <v>74</v>
      </c>
      <c r="J296" t="s">
        <v>41</v>
      </c>
      <c r="K296">
        <v>0</v>
      </c>
      <c r="L296">
        <v>0</v>
      </c>
      <c r="M296">
        <v>0</v>
      </c>
      <c r="N296">
        <v>32.020000000000003</v>
      </c>
      <c r="O296">
        <v>32.0430179593723</v>
      </c>
      <c r="P296" t="s">
        <v>41</v>
      </c>
      <c r="Q296">
        <v>0</v>
      </c>
      <c r="R296" t="s">
        <v>50</v>
      </c>
      <c r="S296">
        <v>2015</v>
      </c>
      <c r="T296" t="s">
        <v>66</v>
      </c>
      <c r="U296" t="s">
        <v>51</v>
      </c>
      <c r="V296" t="s">
        <v>612</v>
      </c>
      <c r="W296" t="s">
        <v>40</v>
      </c>
      <c r="X296" t="s">
        <v>41</v>
      </c>
      <c r="Y296" t="s">
        <v>41</v>
      </c>
      <c r="Z296" t="s">
        <v>43</v>
      </c>
      <c r="AA296">
        <v>1992</v>
      </c>
      <c r="AB296" t="s">
        <v>40</v>
      </c>
      <c r="AC296" t="s">
        <v>613</v>
      </c>
      <c r="AD296" t="s">
        <v>613</v>
      </c>
    </row>
    <row r="297" spans="1:30" x14ac:dyDescent="0.3">
      <c r="A297">
        <v>555623817</v>
      </c>
      <c r="B297">
        <v>555623817</v>
      </c>
      <c r="C297">
        <v>1</v>
      </c>
      <c r="D297" t="s">
        <v>614</v>
      </c>
      <c r="E297" t="s">
        <v>614</v>
      </c>
      <c r="F297" t="s">
        <v>615</v>
      </c>
      <c r="G297" t="s">
        <v>615</v>
      </c>
      <c r="H297" t="s">
        <v>39</v>
      </c>
      <c r="I297" t="s">
        <v>40</v>
      </c>
      <c r="J297" t="s">
        <v>41</v>
      </c>
      <c r="K297">
        <v>0</v>
      </c>
      <c r="L297">
        <v>0</v>
      </c>
      <c r="M297">
        <v>0</v>
      </c>
      <c r="N297">
        <v>880.36494225800004</v>
      </c>
      <c r="O297">
        <v>874.58168659784303</v>
      </c>
      <c r="P297" t="s">
        <v>41</v>
      </c>
      <c r="Q297">
        <v>0</v>
      </c>
      <c r="R297" t="s">
        <v>50</v>
      </c>
      <c r="S297">
        <v>0</v>
      </c>
      <c r="T297" t="s">
        <v>66</v>
      </c>
      <c r="U297" t="s">
        <v>40</v>
      </c>
      <c r="V297" t="s">
        <v>616</v>
      </c>
      <c r="W297" t="s">
        <v>40</v>
      </c>
      <c r="X297" t="s">
        <v>41</v>
      </c>
      <c r="Y297" t="s">
        <v>41</v>
      </c>
      <c r="Z297" t="s">
        <v>43</v>
      </c>
      <c r="AA297">
        <v>1744</v>
      </c>
      <c r="AB297" t="s">
        <v>40</v>
      </c>
      <c r="AC297" t="s">
        <v>617</v>
      </c>
      <c r="AD297" t="s">
        <v>617</v>
      </c>
    </row>
    <row r="298" spans="1:30" x14ac:dyDescent="0.3">
      <c r="A298">
        <v>900852</v>
      </c>
      <c r="B298">
        <v>900852</v>
      </c>
      <c r="C298">
        <v>1</v>
      </c>
      <c r="D298" t="s">
        <v>618</v>
      </c>
      <c r="E298" t="s">
        <v>618</v>
      </c>
      <c r="F298" t="s">
        <v>116</v>
      </c>
      <c r="G298" t="s">
        <v>116</v>
      </c>
      <c r="H298" t="s">
        <v>82</v>
      </c>
      <c r="I298" t="s">
        <v>40</v>
      </c>
      <c r="J298" t="s">
        <v>117</v>
      </c>
      <c r="K298">
        <v>0</v>
      </c>
      <c r="L298">
        <v>0</v>
      </c>
      <c r="M298">
        <v>0</v>
      </c>
      <c r="N298">
        <v>7967.35</v>
      </c>
      <c r="O298">
        <v>7955.7771292421903</v>
      </c>
      <c r="P298" t="s">
        <v>41</v>
      </c>
      <c r="Q298">
        <v>0</v>
      </c>
      <c r="R298" t="s">
        <v>50</v>
      </c>
      <c r="S298">
        <v>2002</v>
      </c>
      <c r="T298" t="s">
        <v>40</v>
      </c>
      <c r="U298" t="s">
        <v>40</v>
      </c>
      <c r="V298" t="s">
        <v>40</v>
      </c>
      <c r="W298" t="s">
        <v>243</v>
      </c>
      <c r="X298" t="s">
        <v>41</v>
      </c>
      <c r="Y298" t="s">
        <v>41</v>
      </c>
      <c r="Z298" t="s">
        <v>43</v>
      </c>
      <c r="AA298">
        <v>1856</v>
      </c>
      <c r="AB298" t="s">
        <v>40</v>
      </c>
      <c r="AC298" t="s">
        <v>617</v>
      </c>
      <c r="AD298" t="s">
        <v>617</v>
      </c>
    </row>
    <row r="299" spans="1:30" x14ac:dyDescent="0.3">
      <c r="A299">
        <v>32790</v>
      </c>
      <c r="B299">
        <v>32790</v>
      </c>
      <c r="C299">
        <v>1</v>
      </c>
      <c r="D299" t="s">
        <v>619</v>
      </c>
      <c r="E299" t="s">
        <v>619</v>
      </c>
      <c r="F299" t="s">
        <v>620</v>
      </c>
      <c r="G299" t="s">
        <v>620</v>
      </c>
      <c r="H299" t="s">
        <v>39</v>
      </c>
      <c r="I299" t="s">
        <v>49</v>
      </c>
      <c r="J299" t="s">
        <v>41</v>
      </c>
      <c r="K299">
        <v>0</v>
      </c>
      <c r="L299">
        <v>0</v>
      </c>
      <c r="M299">
        <v>0</v>
      </c>
      <c r="N299">
        <v>20</v>
      </c>
      <c r="O299">
        <v>4318.0463590848403</v>
      </c>
      <c r="P299" t="s">
        <v>41</v>
      </c>
      <c r="Q299">
        <v>0</v>
      </c>
      <c r="R299" t="s">
        <v>50</v>
      </c>
      <c r="S299">
        <v>1974</v>
      </c>
      <c r="T299" t="s">
        <v>66</v>
      </c>
      <c r="U299" t="s">
        <v>40</v>
      </c>
      <c r="V299" t="s">
        <v>621</v>
      </c>
      <c r="W299" t="s">
        <v>40</v>
      </c>
      <c r="X299" t="s">
        <v>41</v>
      </c>
      <c r="Y299" t="s">
        <v>41</v>
      </c>
      <c r="Z299" t="s">
        <v>43</v>
      </c>
      <c r="AA299">
        <v>1744</v>
      </c>
      <c r="AB299" t="s">
        <v>40</v>
      </c>
      <c r="AC299" t="s">
        <v>617</v>
      </c>
      <c r="AD299" t="s">
        <v>617</v>
      </c>
    </row>
    <row r="300" spans="1:30" x14ac:dyDescent="0.3">
      <c r="A300">
        <v>555623782</v>
      </c>
      <c r="B300">
        <v>555623782</v>
      </c>
      <c r="C300">
        <v>1</v>
      </c>
      <c r="D300" t="s">
        <v>622</v>
      </c>
      <c r="E300" t="s">
        <v>622</v>
      </c>
      <c r="F300" t="s">
        <v>620</v>
      </c>
      <c r="G300" t="s">
        <v>620</v>
      </c>
      <c r="H300" t="s">
        <v>39</v>
      </c>
      <c r="I300" t="s">
        <v>40</v>
      </c>
      <c r="J300" t="s">
        <v>41</v>
      </c>
      <c r="K300">
        <v>0</v>
      </c>
      <c r="L300">
        <v>0</v>
      </c>
      <c r="M300">
        <v>0</v>
      </c>
      <c r="N300">
        <v>2721.03713152</v>
      </c>
      <c r="O300">
        <v>2703.1046526813002</v>
      </c>
      <c r="P300" t="s">
        <v>41</v>
      </c>
      <c r="Q300">
        <v>0</v>
      </c>
      <c r="R300" t="s">
        <v>50</v>
      </c>
      <c r="S300">
        <v>0</v>
      </c>
      <c r="T300" t="s">
        <v>66</v>
      </c>
      <c r="U300" t="s">
        <v>40</v>
      </c>
      <c r="V300" t="s">
        <v>621</v>
      </c>
      <c r="W300" t="s">
        <v>40</v>
      </c>
      <c r="X300" t="s">
        <v>41</v>
      </c>
      <c r="Y300" t="s">
        <v>41</v>
      </c>
      <c r="Z300" t="s">
        <v>43</v>
      </c>
      <c r="AA300">
        <v>1744</v>
      </c>
      <c r="AB300" t="s">
        <v>40</v>
      </c>
      <c r="AC300" t="s">
        <v>617</v>
      </c>
      <c r="AD300" t="s">
        <v>617</v>
      </c>
    </row>
    <row r="301" spans="1:30" x14ac:dyDescent="0.3">
      <c r="A301">
        <v>555623784</v>
      </c>
      <c r="B301">
        <v>555623784</v>
      </c>
      <c r="C301">
        <v>1</v>
      </c>
      <c r="D301" t="s">
        <v>623</v>
      </c>
      <c r="E301" t="s">
        <v>623</v>
      </c>
      <c r="F301" t="s">
        <v>620</v>
      </c>
      <c r="G301" t="s">
        <v>620</v>
      </c>
      <c r="H301" t="s">
        <v>39</v>
      </c>
      <c r="I301" t="s">
        <v>40</v>
      </c>
      <c r="J301" t="s">
        <v>41</v>
      </c>
      <c r="K301">
        <v>0</v>
      </c>
      <c r="L301">
        <v>0</v>
      </c>
      <c r="M301">
        <v>0</v>
      </c>
      <c r="N301">
        <v>4418.2514781700002</v>
      </c>
      <c r="O301">
        <v>4389.0416902510096</v>
      </c>
      <c r="P301" t="s">
        <v>41</v>
      </c>
      <c r="Q301">
        <v>0</v>
      </c>
      <c r="R301" t="s">
        <v>50</v>
      </c>
      <c r="S301">
        <v>0</v>
      </c>
      <c r="T301" t="s">
        <v>66</v>
      </c>
      <c r="U301" t="s">
        <v>40</v>
      </c>
      <c r="V301" t="s">
        <v>621</v>
      </c>
      <c r="W301" t="s">
        <v>40</v>
      </c>
      <c r="X301" t="s">
        <v>41</v>
      </c>
      <c r="Y301" t="s">
        <v>41</v>
      </c>
      <c r="Z301" t="s">
        <v>43</v>
      </c>
      <c r="AA301">
        <v>1744</v>
      </c>
      <c r="AB301" t="s">
        <v>40</v>
      </c>
      <c r="AC301" t="s">
        <v>617</v>
      </c>
      <c r="AD301" t="s">
        <v>617</v>
      </c>
    </row>
    <row r="302" spans="1:30" x14ac:dyDescent="0.3">
      <c r="A302">
        <v>555623785</v>
      </c>
      <c r="B302">
        <v>555623785</v>
      </c>
      <c r="C302">
        <v>1</v>
      </c>
      <c r="D302" t="s">
        <v>624</v>
      </c>
      <c r="E302" t="s">
        <v>624</v>
      </c>
      <c r="F302" t="s">
        <v>620</v>
      </c>
      <c r="G302" t="s">
        <v>620</v>
      </c>
      <c r="H302" t="s">
        <v>39</v>
      </c>
      <c r="I302" t="s">
        <v>40</v>
      </c>
      <c r="J302" t="s">
        <v>41</v>
      </c>
      <c r="K302">
        <v>0</v>
      </c>
      <c r="L302">
        <v>0</v>
      </c>
      <c r="M302">
        <v>0</v>
      </c>
      <c r="N302">
        <v>7756.7564529399897</v>
      </c>
      <c r="O302">
        <v>7705.2090217538598</v>
      </c>
      <c r="P302" t="s">
        <v>41</v>
      </c>
      <c r="Q302">
        <v>0</v>
      </c>
      <c r="R302" t="s">
        <v>50</v>
      </c>
      <c r="S302">
        <v>0</v>
      </c>
      <c r="T302" t="s">
        <v>66</v>
      </c>
      <c r="U302" t="s">
        <v>40</v>
      </c>
      <c r="V302" t="s">
        <v>621</v>
      </c>
      <c r="W302" t="s">
        <v>40</v>
      </c>
      <c r="X302" t="s">
        <v>41</v>
      </c>
      <c r="Y302" t="s">
        <v>41</v>
      </c>
      <c r="Z302" t="s">
        <v>43</v>
      </c>
      <c r="AA302">
        <v>1744</v>
      </c>
      <c r="AB302" t="s">
        <v>40</v>
      </c>
      <c r="AC302" t="s">
        <v>617</v>
      </c>
      <c r="AD302" t="s">
        <v>617</v>
      </c>
    </row>
    <row r="303" spans="1:30" x14ac:dyDescent="0.3">
      <c r="A303">
        <v>555623789</v>
      </c>
      <c r="B303">
        <v>555623789</v>
      </c>
      <c r="C303">
        <v>1</v>
      </c>
      <c r="D303" t="s">
        <v>625</v>
      </c>
      <c r="E303" t="s">
        <v>625</v>
      </c>
      <c r="F303" t="s">
        <v>620</v>
      </c>
      <c r="G303" t="s">
        <v>620</v>
      </c>
      <c r="H303" t="s">
        <v>39</v>
      </c>
      <c r="I303" t="s">
        <v>40</v>
      </c>
      <c r="J303" t="s">
        <v>41</v>
      </c>
      <c r="K303">
        <v>0</v>
      </c>
      <c r="L303">
        <v>0</v>
      </c>
      <c r="M303">
        <v>0</v>
      </c>
      <c r="N303">
        <v>2062.9363292899902</v>
      </c>
      <c r="O303">
        <v>2049.3491529047201</v>
      </c>
      <c r="P303" t="s">
        <v>41</v>
      </c>
      <c r="Q303">
        <v>0</v>
      </c>
      <c r="R303" t="s">
        <v>50</v>
      </c>
      <c r="S303">
        <v>0</v>
      </c>
      <c r="T303" t="s">
        <v>66</v>
      </c>
      <c r="U303" t="s">
        <v>40</v>
      </c>
      <c r="V303" t="s">
        <v>621</v>
      </c>
      <c r="W303" t="s">
        <v>40</v>
      </c>
      <c r="X303" t="s">
        <v>41</v>
      </c>
      <c r="Y303" t="s">
        <v>41</v>
      </c>
      <c r="Z303" t="s">
        <v>43</v>
      </c>
      <c r="AA303">
        <v>1744</v>
      </c>
      <c r="AB303" t="s">
        <v>40</v>
      </c>
      <c r="AC303" t="s">
        <v>617</v>
      </c>
      <c r="AD303" t="s">
        <v>617</v>
      </c>
    </row>
    <row r="304" spans="1:30" x14ac:dyDescent="0.3">
      <c r="A304">
        <v>555623790</v>
      </c>
      <c r="B304">
        <v>555623790</v>
      </c>
      <c r="C304">
        <v>1</v>
      </c>
      <c r="D304" t="s">
        <v>626</v>
      </c>
      <c r="E304" t="s">
        <v>626</v>
      </c>
      <c r="F304" t="s">
        <v>620</v>
      </c>
      <c r="G304" t="s">
        <v>620</v>
      </c>
      <c r="H304" t="s">
        <v>39</v>
      </c>
      <c r="I304" t="s">
        <v>40</v>
      </c>
      <c r="J304" t="s">
        <v>41</v>
      </c>
      <c r="K304">
        <v>0</v>
      </c>
      <c r="L304">
        <v>0</v>
      </c>
      <c r="M304">
        <v>0</v>
      </c>
      <c r="N304">
        <v>8846.8118127399903</v>
      </c>
      <c r="O304">
        <v>8788.8032388746706</v>
      </c>
      <c r="P304" t="s">
        <v>41</v>
      </c>
      <c r="Q304">
        <v>0</v>
      </c>
      <c r="R304" t="s">
        <v>50</v>
      </c>
      <c r="S304">
        <v>0</v>
      </c>
      <c r="T304" t="s">
        <v>66</v>
      </c>
      <c r="U304" t="s">
        <v>40</v>
      </c>
      <c r="V304" t="s">
        <v>621</v>
      </c>
      <c r="W304" t="s">
        <v>40</v>
      </c>
      <c r="X304" t="s">
        <v>41</v>
      </c>
      <c r="Y304" t="s">
        <v>41</v>
      </c>
      <c r="Z304" t="s">
        <v>43</v>
      </c>
      <c r="AA304">
        <v>1744</v>
      </c>
      <c r="AB304" t="s">
        <v>40</v>
      </c>
      <c r="AC304" t="s">
        <v>617</v>
      </c>
      <c r="AD304" t="s">
        <v>617</v>
      </c>
    </row>
    <row r="305" spans="1:30" x14ac:dyDescent="0.3">
      <c r="A305">
        <v>555623791</v>
      </c>
      <c r="B305">
        <v>555623791</v>
      </c>
      <c r="C305">
        <v>1</v>
      </c>
      <c r="D305" t="s">
        <v>627</v>
      </c>
      <c r="E305" t="s">
        <v>627</v>
      </c>
      <c r="F305" t="s">
        <v>620</v>
      </c>
      <c r="G305" t="s">
        <v>620</v>
      </c>
      <c r="H305" t="s">
        <v>39</v>
      </c>
      <c r="I305" t="s">
        <v>40</v>
      </c>
      <c r="J305" t="s">
        <v>41</v>
      </c>
      <c r="K305">
        <v>0</v>
      </c>
      <c r="L305">
        <v>0</v>
      </c>
      <c r="M305">
        <v>0</v>
      </c>
      <c r="N305">
        <v>5817.6586154799897</v>
      </c>
      <c r="O305">
        <v>5780.4383730785603</v>
      </c>
      <c r="P305" t="s">
        <v>41</v>
      </c>
      <c r="Q305">
        <v>0</v>
      </c>
      <c r="R305" t="s">
        <v>50</v>
      </c>
      <c r="S305">
        <v>0</v>
      </c>
      <c r="T305" t="s">
        <v>66</v>
      </c>
      <c r="U305" t="s">
        <v>40</v>
      </c>
      <c r="V305" t="s">
        <v>621</v>
      </c>
      <c r="W305" t="s">
        <v>40</v>
      </c>
      <c r="X305" t="s">
        <v>41</v>
      </c>
      <c r="Y305" t="s">
        <v>41</v>
      </c>
      <c r="Z305" t="s">
        <v>43</v>
      </c>
      <c r="AA305">
        <v>1744</v>
      </c>
      <c r="AB305" t="s">
        <v>40</v>
      </c>
      <c r="AC305" t="s">
        <v>617</v>
      </c>
      <c r="AD305" t="s">
        <v>617</v>
      </c>
    </row>
    <row r="306" spans="1:30" x14ac:dyDescent="0.3">
      <c r="A306">
        <v>555549308</v>
      </c>
      <c r="B306">
        <v>555549308</v>
      </c>
      <c r="C306">
        <v>1</v>
      </c>
      <c r="D306" t="s">
        <v>628</v>
      </c>
      <c r="E306" t="s">
        <v>628</v>
      </c>
      <c r="F306" t="s">
        <v>629</v>
      </c>
      <c r="G306" t="s">
        <v>629</v>
      </c>
      <c r="H306" t="s">
        <v>39</v>
      </c>
      <c r="I306" t="s">
        <v>40</v>
      </c>
      <c r="J306" t="s">
        <v>41</v>
      </c>
      <c r="K306">
        <v>0</v>
      </c>
      <c r="L306">
        <v>0</v>
      </c>
      <c r="M306">
        <v>0</v>
      </c>
      <c r="N306">
        <v>751</v>
      </c>
      <c r="O306">
        <v>1388.28522704687</v>
      </c>
      <c r="P306" t="s">
        <v>41</v>
      </c>
      <c r="Q306">
        <v>0</v>
      </c>
      <c r="R306" t="s">
        <v>50</v>
      </c>
      <c r="S306">
        <v>2007</v>
      </c>
      <c r="T306" t="s">
        <v>630</v>
      </c>
      <c r="U306" t="s">
        <v>40</v>
      </c>
      <c r="V306" t="s">
        <v>616</v>
      </c>
      <c r="W306" t="s">
        <v>631</v>
      </c>
      <c r="X306" t="s">
        <v>41</v>
      </c>
      <c r="Y306" t="s">
        <v>41</v>
      </c>
      <c r="Z306" t="s">
        <v>43</v>
      </c>
      <c r="AA306">
        <v>1744</v>
      </c>
      <c r="AB306" t="s">
        <v>632</v>
      </c>
      <c r="AC306" t="s">
        <v>617</v>
      </c>
      <c r="AD306" t="s">
        <v>617</v>
      </c>
    </row>
    <row r="307" spans="1:30" x14ac:dyDescent="0.3">
      <c r="A307">
        <v>555549301</v>
      </c>
      <c r="B307">
        <v>555549301</v>
      </c>
      <c r="C307">
        <v>1</v>
      </c>
      <c r="D307" t="s">
        <v>633</v>
      </c>
      <c r="E307" t="s">
        <v>633</v>
      </c>
      <c r="F307" t="s">
        <v>629</v>
      </c>
      <c r="G307" t="s">
        <v>629</v>
      </c>
      <c r="H307" t="s">
        <v>39</v>
      </c>
      <c r="I307" t="s">
        <v>40</v>
      </c>
      <c r="J307" t="s">
        <v>41</v>
      </c>
      <c r="K307">
        <v>0</v>
      </c>
      <c r="L307">
        <v>0</v>
      </c>
      <c r="M307">
        <v>0</v>
      </c>
      <c r="N307">
        <v>5372</v>
      </c>
      <c r="O307">
        <v>4825.9565310791404</v>
      </c>
      <c r="P307" t="s">
        <v>41</v>
      </c>
      <c r="Q307">
        <v>0</v>
      </c>
      <c r="R307" t="s">
        <v>50</v>
      </c>
      <c r="S307">
        <v>2009</v>
      </c>
      <c r="T307" t="s">
        <v>630</v>
      </c>
      <c r="U307" t="s">
        <v>40</v>
      </c>
      <c r="V307" t="s">
        <v>616</v>
      </c>
      <c r="W307" t="s">
        <v>40</v>
      </c>
      <c r="X307" t="s">
        <v>41</v>
      </c>
      <c r="Y307" t="s">
        <v>41</v>
      </c>
      <c r="Z307" t="s">
        <v>43</v>
      </c>
      <c r="AA307">
        <v>1744</v>
      </c>
      <c r="AB307" t="s">
        <v>634</v>
      </c>
      <c r="AC307" t="s">
        <v>617</v>
      </c>
      <c r="AD307" t="s">
        <v>617</v>
      </c>
    </row>
    <row r="308" spans="1:30" x14ac:dyDescent="0.3">
      <c r="A308">
        <v>555623818</v>
      </c>
      <c r="B308">
        <v>555623818</v>
      </c>
      <c r="C308">
        <v>1</v>
      </c>
      <c r="D308" t="s">
        <v>635</v>
      </c>
      <c r="E308" t="s">
        <v>635</v>
      </c>
      <c r="F308" t="s">
        <v>615</v>
      </c>
      <c r="G308" t="s">
        <v>615</v>
      </c>
      <c r="H308" t="s">
        <v>39</v>
      </c>
      <c r="I308" t="s">
        <v>40</v>
      </c>
      <c r="J308" t="s">
        <v>41</v>
      </c>
      <c r="K308">
        <v>0</v>
      </c>
      <c r="L308">
        <v>0</v>
      </c>
      <c r="M308">
        <v>0</v>
      </c>
      <c r="N308">
        <v>891.82809583100004</v>
      </c>
      <c r="O308">
        <v>885.96449944590097</v>
      </c>
      <c r="P308" t="s">
        <v>41</v>
      </c>
      <c r="Q308">
        <v>0</v>
      </c>
      <c r="R308" t="s">
        <v>50</v>
      </c>
      <c r="S308">
        <v>0</v>
      </c>
      <c r="T308" t="s">
        <v>66</v>
      </c>
      <c r="U308" t="s">
        <v>40</v>
      </c>
      <c r="V308" t="s">
        <v>616</v>
      </c>
      <c r="W308" t="s">
        <v>40</v>
      </c>
      <c r="X308" t="s">
        <v>41</v>
      </c>
      <c r="Y308" t="s">
        <v>41</v>
      </c>
      <c r="Z308" t="s">
        <v>43</v>
      </c>
      <c r="AA308">
        <v>1744</v>
      </c>
      <c r="AB308" t="s">
        <v>40</v>
      </c>
      <c r="AC308" t="s">
        <v>617</v>
      </c>
      <c r="AD308" t="s">
        <v>617</v>
      </c>
    </row>
    <row r="309" spans="1:30" x14ac:dyDescent="0.3">
      <c r="A309">
        <v>555549305</v>
      </c>
      <c r="B309">
        <v>555549305</v>
      </c>
      <c r="C309">
        <v>1</v>
      </c>
      <c r="D309" t="s">
        <v>636</v>
      </c>
      <c r="E309" t="s">
        <v>636</v>
      </c>
      <c r="F309" t="s">
        <v>629</v>
      </c>
      <c r="G309" t="s">
        <v>629</v>
      </c>
      <c r="H309" t="s">
        <v>39</v>
      </c>
      <c r="I309" t="s">
        <v>40</v>
      </c>
      <c r="J309" t="s">
        <v>41</v>
      </c>
      <c r="K309">
        <v>0</v>
      </c>
      <c r="L309">
        <v>0</v>
      </c>
      <c r="M309">
        <v>0</v>
      </c>
      <c r="N309">
        <v>2471</v>
      </c>
      <c r="O309">
        <v>2917.45347553394</v>
      </c>
      <c r="P309" t="s">
        <v>41</v>
      </c>
      <c r="Q309">
        <v>0</v>
      </c>
      <c r="R309" t="s">
        <v>50</v>
      </c>
      <c r="S309">
        <v>2010</v>
      </c>
      <c r="T309" t="s">
        <v>630</v>
      </c>
      <c r="U309" t="s">
        <v>40</v>
      </c>
      <c r="V309" t="s">
        <v>616</v>
      </c>
      <c r="W309" t="s">
        <v>637</v>
      </c>
      <c r="X309" t="s">
        <v>41</v>
      </c>
      <c r="Y309" t="s">
        <v>41</v>
      </c>
      <c r="Z309" t="s">
        <v>43</v>
      </c>
      <c r="AA309">
        <v>1744</v>
      </c>
      <c r="AB309" t="s">
        <v>638</v>
      </c>
      <c r="AC309" t="s">
        <v>617</v>
      </c>
      <c r="AD309" t="s">
        <v>617</v>
      </c>
    </row>
    <row r="310" spans="1:30" x14ac:dyDescent="0.3">
      <c r="A310">
        <v>555549304</v>
      </c>
      <c r="B310">
        <v>555549304</v>
      </c>
      <c r="C310">
        <v>1</v>
      </c>
      <c r="D310" t="s">
        <v>639</v>
      </c>
      <c r="E310" t="s">
        <v>639</v>
      </c>
      <c r="F310" t="s">
        <v>629</v>
      </c>
      <c r="G310" t="s">
        <v>629</v>
      </c>
      <c r="H310" t="s">
        <v>39</v>
      </c>
      <c r="I310" t="s">
        <v>40</v>
      </c>
      <c r="J310" t="s">
        <v>41</v>
      </c>
      <c r="K310">
        <v>0</v>
      </c>
      <c r="L310">
        <v>0</v>
      </c>
      <c r="M310">
        <v>0</v>
      </c>
      <c r="N310">
        <v>1391</v>
      </c>
      <c r="O310">
        <v>1367.4047826896599</v>
      </c>
      <c r="P310" t="s">
        <v>41</v>
      </c>
      <c r="Q310">
        <v>0</v>
      </c>
      <c r="R310" t="s">
        <v>50</v>
      </c>
      <c r="S310">
        <v>2009</v>
      </c>
      <c r="T310" t="s">
        <v>630</v>
      </c>
      <c r="U310" t="s">
        <v>40</v>
      </c>
      <c r="V310" t="s">
        <v>616</v>
      </c>
      <c r="W310" t="s">
        <v>640</v>
      </c>
      <c r="X310" t="s">
        <v>41</v>
      </c>
      <c r="Y310" t="s">
        <v>41</v>
      </c>
      <c r="Z310" t="s">
        <v>43</v>
      </c>
      <c r="AA310">
        <v>1744</v>
      </c>
      <c r="AB310" t="s">
        <v>638</v>
      </c>
      <c r="AC310" t="s">
        <v>617</v>
      </c>
      <c r="AD310" t="s">
        <v>617</v>
      </c>
    </row>
    <row r="311" spans="1:30" x14ac:dyDescent="0.3">
      <c r="A311">
        <v>555549303</v>
      </c>
      <c r="B311">
        <v>555549303</v>
      </c>
      <c r="C311">
        <v>1</v>
      </c>
      <c r="D311" t="s">
        <v>641</v>
      </c>
      <c r="E311" t="s">
        <v>641</v>
      </c>
      <c r="F311" t="s">
        <v>629</v>
      </c>
      <c r="G311" t="s">
        <v>629</v>
      </c>
      <c r="H311" t="s">
        <v>39</v>
      </c>
      <c r="I311" t="s">
        <v>40</v>
      </c>
      <c r="J311" t="s">
        <v>41</v>
      </c>
      <c r="K311">
        <v>0</v>
      </c>
      <c r="L311">
        <v>0</v>
      </c>
      <c r="M311">
        <v>0</v>
      </c>
      <c r="N311">
        <v>750</v>
      </c>
      <c r="O311">
        <v>1658.3779428443099</v>
      </c>
      <c r="P311" t="s">
        <v>41</v>
      </c>
      <c r="Q311">
        <v>0</v>
      </c>
      <c r="R311" t="s">
        <v>50</v>
      </c>
      <c r="S311">
        <v>2010</v>
      </c>
      <c r="T311" t="s">
        <v>630</v>
      </c>
      <c r="U311" t="s">
        <v>40</v>
      </c>
      <c r="V311" t="s">
        <v>616</v>
      </c>
      <c r="W311" t="s">
        <v>642</v>
      </c>
      <c r="X311" t="s">
        <v>41</v>
      </c>
      <c r="Y311" t="s">
        <v>41</v>
      </c>
      <c r="Z311" t="s">
        <v>43</v>
      </c>
      <c r="AA311">
        <v>1744</v>
      </c>
      <c r="AB311" t="s">
        <v>643</v>
      </c>
      <c r="AC311" t="s">
        <v>617</v>
      </c>
      <c r="AD311" t="s">
        <v>617</v>
      </c>
    </row>
    <row r="312" spans="1:30" x14ac:dyDescent="0.3">
      <c r="A312">
        <v>555549299</v>
      </c>
      <c r="B312">
        <v>555549299</v>
      </c>
      <c r="C312">
        <v>1</v>
      </c>
      <c r="D312" t="s">
        <v>644</v>
      </c>
      <c r="E312" t="s">
        <v>644</v>
      </c>
      <c r="F312" t="s">
        <v>629</v>
      </c>
      <c r="G312" t="s">
        <v>629</v>
      </c>
      <c r="H312" t="s">
        <v>39</v>
      </c>
      <c r="I312" t="s">
        <v>40</v>
      </c>
      <c r="J312" t="s">
        <v>41</v>
      </c>
      <c r="K312">
        <v>0</v>
      </c>
      <c r="L312">
        <v>0</v>
      </c>
      <c r="M312">
        <v>0</v>
      </c>
      <c r="N312">
        <v>617</v>
      </c>
      <c r="O312">
        <v>939.11692610096202</v>
      </c>
      <c r="P312" t="s">
        <v>41</v>
      </c>
      <c r="Q312">
        <v>0</v>
      </c>
      <c r="R312" t="s">
        <v>50</v>
      </c>
      <c r="S312">
        <v>2006</v>
      </c>
      <c r="T312" t="s">
        <v>630</v>
      </c>
      <c r="U312" t="s">
        <v>40</v>
      </c>
      <c r="V312" t="s">
        <v>616</v>
      </c>
      <c r="W312" t="s">
        <v>645</v>
      </c>
      <c r="X312" t="s">
        <v>41</v>
      </c>
      <c r="Y312" t="s">
        <v>41</v>
      </c>
      <c r="Z312" t="s">
        <v>43</v>
      </c>
      <c r="AA312">
        <v>1744</v>
      </c>
      <c r="AB312" t="s">
        <v>646</v>
      </c>
      <c r="AC312" t="s">
        <v>617</v>
      </c>
      <c r="AD312" t="s">
        <v>617</v>
      </c>
    </row>
    <row r="313" spans="1:30" x14ac:dyDescent="0.3">
      <c r="A313">
        <v>555623800</v>
      </c>
      <c r="B313">
        <v>555623800</v>
      </c>
      <c r="C313">
        <v>1</v>
      </c>
      <c r="D313" t="s">
        <v>647</v>
      </c>
      <c r="E313" t="s">
        <v>647</v>
      </c>
      <c r="F313" t="s">
        <v>127</v>
      </c>
      <c r="G313" t="s">
        <v>127</v>
      </c>
      <c r="H313" t="s">
        <v>39</v>
      </c>
      <c r="I313" t="s">
        <v>40</v>
      </c>
      <c r="J313" t="s">
        <v>41</v>
      </c>
      <c r="K313">
        <v>0</v>
      </c>
      <c r="L313">
        <v>0</v>
      </c>
      <c r="M313">
        <v>0</v>
      </c>
      <c r="N313">
        <v>893.56647740799895</v>
      </c>
      <c r="O313">
        <v>887.67089103841204</v>
      </c>
      <c r="P313" t="s">
        <v>41</v>
      </c>
      <c r="Q313">
        <v>0</v>
      </c>
      <c r="R313" t="s">
        <v>50</v>
      </c>
      <c r="S313">
        <v>0</v>
      </c>
      <c r="T313" t="s">
        <v>66</v>
      </c>
      <c r="U313" t="s">
        <v>40</v>
      </c>
      <c r="V313" t="s">
        <v>616</v>
      </c>
      <c r="W313" t="s">
        <v>40</v>
      </c>
      <c r="X313" t="s">
        <v>41</v>
      </c>
      <c r="Y313" t="s">
        <v>41</v>
      </c>
      <c r="Z313" t="s">
        <v>43</v>
      </c>
      <c r="AA313">
        <v>1744</v>
      </c>
      <c r="AB313" t="s">
        <v>40</v>
      </c>
      <c r="AC313" t="s">
        <v>617</v>
      </c>
      <c r="AD313" t="s">
        <v>617</v>
      </c>
    </row>
    <row r="314" spans="1:30" x14ac:dyDescent="0.3">
      <c r="A314">
        <v>555623802</v>
      </c>
      <c r="B314">
        <v>555623802</v>
      </c>
      <c r="C314">
        <v>1</v>
      </c>
      <c r="D314" t="s">
        <v>648</v>
      </c>
      <c r="E314" t="s">
        <v>648</v>
      </c>
      <c r="F314" t="s">
        <v>127</v>
      </c>
      <c r="G314" t="s">
        <v>127</v>
      </c>
      <c r="H314" t="s">
        <v>39</v>
      </c>
      <c r="I314" t="s">
        <v>40</v>
      </c>
      <c r="J314" t="s">
        <v>41</v>
      </c>
      <c r="K314">
        <v>0</v>
      </c>
      <c r="L314">
        <v>0</v>
      </c>
      <c r="M314">
        <v>0</v>
      </c>
      <c r="N314">
        <v>3388.5685492399898</v>
      </c>
      <c r="O314">
        <v>3366.5711967319999</v>
      </c>
      <c r="P314" t="s">
        <v>41</v>
      </c>
      <c r="Q314">
        <v>0</v>
      </c>
      <c r="R314" t="s">
        <v>50</v>
      </c>
      <c r="S314">
        <v>0</v>
      </c>
      <c r="T314" t="s">
        <v>66</v>
      </c>
      <c r="U314" t="s">
        <v>40</v>
      </c>
      <c r="V314" t="s">
        <v>616</v>
      </c>
      <c r="W314" t="s">
        <v>40</v>
      </c>
      <c r="X314" t="s">
        <v>41</v>
      </c>
      <c r="Y314" t="s">
        <v>41</v>
      </c>
      <c r="Z314" t="s">
        <v>43</v>
      </c>
      <c r="AA314">
        <v>1744</v>
      </c>
      <c r="AB314" t="s">
        <v>40</v>
      </c>
      <c r="AC314" t="s">
        <v>617</v>
      </c>
      <c r="AD314" t="s">
        <v>617</v>
      </c>
    </row>
    <row r="315" spans="1:30" x14ac:dyDescent="0.3">
      <c r="A315">
        <v>1399</v>
      </c>
      <c r="B315">
        <v>1399</v>
      </c>
      <c r="C315">
        <v>1</v>
      </c>
      <c r="D315" t="s">
        <v>649</v>
      </c>
      <c r="E315" t="s">
        <v>649</v>
      </c>
      <c r="F315" t="s">
        <v>127</v>
      </c>
      <c r="G315" t="s">
        <v>127</v>
      </c>
      <c r="H315" t="s">
        <v>39</v>
      </c>
      <c r="I315" t="s">
        <v>74</v>
      </c>
      <c r="J315" t="s">
        <v>41</v>
      </c>
      <c r="K315">
        <v>0</v>
      </c>
      <c r="L315">
        <v>0</v>
      </c>
      <c r="M315">
        <v>0</v>
      </c>
      <c r="N315">
        <v>44000</v>
      </c>
      <c r="O315">
        <v>41309.335464374002</v>
      </c>
      <c r="P315" t="s">
        <v>41</v>
      </c>
      <c r="Q315">
        <v>0</v>
      </c>
      <c r="R315" t="s">
        <v>50</v>
      </c>
      <c r="S315">
        <v>1905</v>
      </c>
      <c r="T315" t="s">
        <v>66</v>
      </c>
      <c r="U315" t="s">
        <v>40</v>
      </c>
      <c r="V315" t="s">
        <v>616</v>
      </c>
      <c r="W315" t="s">
        <v>40</v>
      </c>
      <c r="X315" t="s">
        <v>41</v>
      </c>
      <c r="Y315" t="s">
        <v>41</v>
      </c>
      <c r="Z315" t="s">
        <v>43</v>
      </c>
      <c r="AA315">
        <v>1744</v>
      </c>
      <c r="AB315" t="s">
        <v>40</v>
      </c>
      <c r="AC315" t="s">
        <v>617</v>
      </c>
      <c r="AD315" t="s">
        <v>617</v>
      </c>
    </row>
    <row r="316" spans="1:30" x14ac:dyDescent="0.3">
      <c r="A316">
        <v>555623806</v>
      </c>
      <c r="B316">
        <v>555623806</v>
      </c>
      <c r="C316">
        <v>1</v>
      </c>
      <c r="D316" t="s">
        <v>650</v>
      </c>
      <c r="E316" t="s">
        <v>650</v>
      </c>
      <c r="F316" t="s">
        <v>615</v>
      </c>
      <c r="G316" t="s">
        <v>615</v>
      </c>
      <c r="H316" t="s">
        <v>39</v>
      </c>
      <c r="I316" t="s">
        <v>40</v>
      </c>
      <c r="J316" t="s">
        <v>41</v>
      </c>
      <c r="K316">
        <v>0</v>
      </c>
      <c r="L316">
        <v>0</v>
      </c>
      <c r="M316">
        <v>0</v>
      </c>
      <c r="N316">
        <v>3280.78734359999</v>
      </c>
      <c r="O316">
        <v>3259.2369800450101</v>
      </c>
      <c r="P316" t="s">
        <v>41</v>
      </c>
      <c r="Q316">
        <v>0</v>
      </c>
      <c r="R316" t="s">
        <v>50</v>
      </c>
      <c r="S316">
        <v>0</v>
      </c>
      <c r="T316" t="s">
        <v>66</v>
      </c>
      <c r="U316" t="s">
        <v>40</v>
      </c>
      <c r="V316" t="s">
        <v>616</v>
      </c>
      <c r="W316" t="s">
        <v>40</v>
      </c>
      <c r="X316" t="s">
        <v>41</v>
      </c>
      <c r="Y316" t="s">
        <v>41</v>
      </c>
      <c r="Z316" t="s">
        <v>43</v>
      </c>
      <c r="AA316">
        <v>1744</v>
      </c>
      <c r="AB316" t="s">
        <v>40</v>
      </c>
      <c r="AC316" t="s">
        <v>617</v>
      </c>
      <c r="AD316" t="s">
        <v>617</v>
      </c>
    </row>
    <row r="317" spans="1:30" x14ac:dyDescent="0.3">
      <c r="A317">
        <v>555623813</v>
      </c>
      <c r="B317">
        <v>555623813</v>
      </c>
      <c r="C317">
        <v>1</v>
      </c>
      <c r="D317" t="s">
        <v>651</v>
      </c>
      <c r="E317" t="s">
        <v>651</v>
      </c>
      <c r="F317" t="s">
        <v>615</v>
      </c>
      <c r="G317" t="s">
        <v>615</v>
      </c>
      <c r="H317" t="s">
        <v>39</v>
      </c>
      <c r="I317" t="s">
        <v>40</v>
      </c>
      <c r="J317" t="s">
        <v>41</v>
      </c>
      <c r="K317">
        <v>0</v>
      </c>
      <c r="L317">
        <v>0</v>
      </c>
      <c r="M317">
        <v>0</v>
      </c>
      <c r="N317">
        <v>4361.0361882099896</v>
      </c>
      <c r="O317">
        <v>4332.37733020818</v>
      </c>
      <c r="P317" t="s">
        <v>41</v>
      </c>
      <c r="Q317">
        <v>0</v>
      </c>
      <c r="R317" t="s">
        <v>50</v>
      </c>
      <c r="S317">
        <v>0</v>
      </c>
      <c r="T317" t="s">
        <v>66</v>
      </c>
      <c r="U317" t="s">
        <v>40</v>
      </c>
      <c r="V317" t="s">
        <v>616</v>
      </c>
      <c r="W317" t="s">
        <v>40</v>
      </c>
      <c r="X317" t="s">
        <v>41</v>
      </c>
      <c r="Y317" t="s">
        <v>41</v>
      </c>
      <c r="Z317" t="s">
        <v>43</v>
      </c>
      <c r="AA317">
        <v>1744</v>
      </c>
      <c r="AB317" t="s">
        <v>40</v>
      </c>
      <c r="AC317" t="s">
        <v>617</v>
      </c>
      <c r="AD317" t="s">
        <v>617</v>
      </c>
    </row>
    <row r="318" spans="1:30" x14ac:dyDescent="0.3">
      <c r="A318">
        <v>555623823</v>
      </c>
      <c r="B318">
        <v>555623823</v>
      </c>
      <c r="C318">
        <v>1</v>
      </c>
      <c r="D318" t="s">
        <v>652</v>
      </c>
      <c r="E318" t="s">
        <v>652</v>
      </c>
      <c r="F318" t="s">
        <v>615</v>
      </c>
      <c r="G318" t="s">
        <v>615</v>
      </c>
      <c r="H318" t="s">
        <v>39</v>
      </c>
      <c r="I318" t="s">
        <v>40</v>
      </c>
      <c r="J318" t="s">
        <v>41</v>
      </c>
      <c r="K318">
        <v>0</v>
      </c>
      <c r="L318">
        <v>0</v>
      </c>
      <c r="M318">
        <v>0</v>
      </c>
      <c r="N318">
        <v>5052.0681064999899</v>
      </c>
      <c r="O318">
        <v>5018.8383685402296</v>
      </c>
      <c r="P318" t="s">
        <v>41</v>
      </c>
      <c r="Q318">
        <v>0</v>
      </c>
      <c r="R318" t="s">
        <v>50</v>
      </c>
      <c r="S318">
        <v>0</v>
      </c>
      <c r="T318" t="s">
        <v>66</v>
      </c>
      <c r="U318" t="s">
        <v>40</v>
      </c>
      <c r="V318" t="s">
        <v>616</v>
      </c>
      <c r="W318" t="s">
        <v>40</v>
      </c>
      <c r="X318" t="s">
        <v>41</v>
      </c>
      <c r="Y318" t="s">
        <v>41</v>
      </c>
      <c r="Z318" t="s">
        <v>43</v>
      </c>
      <c r="AA318">
        <v>1744</v>
      </c>
      <c r="AB318" t="s">
        <v>40</v>
      </c>
      <c r="AC318" t="s">
        <v>617</v>
      </c>
      <c r="AD318" t="s">
        <v>617</v>
      </c>
    </row>
    <row r="319" spans="1:30" x14ac:dyDescent="0.3">
      <c r="A319">
        <v>220068</v>
      </c>
      <c r="B319">
        <v>220068</v>
      </c>
      <c r="C319">
        <v>1</v>
      </c>
      <c r="D319" t="s">
        <v>653</v>
      </c>
      <c r="E319" t="s">
        <v>653</v>
      </c>
      <c r="F319" t="s">
        <v>116</v>
      </c>
      <c r="G319" t="s">
        <v>116</v>
      </c>
      <c r="H319" t="s">
        <v>82</v>
      </c>
      <c r="I319" t="s">
        <v>40</v>
      </c>
      <c r="J319" t="s">
        <v>117</v>
      </c>
      <c r="K319">
        <v>0</v>
      </c>
      <c r="L319">
        <v>0</v>
      </c>
      <c r="M319">
        <v>0</v>
      </c>
      <c r="N319">
        <v>32500</v>
      </c>
      <c r="O319">
        <v>36813.804297647701</v>
      </c>
      <c r="P319" t="s">
        <v>41</v>
      </c>
      <c r="Q319">
        <v>0</v>
      </c>
      <c r="R319" t="s">
        <v>50</v>
      </c>
      <c r="S319">
        <v>2000</v>
      </c>
      <c r="T319" t="s">
        <v>40</v>
      </c>
      <c r="U319" t="s">
        <v>40</v>
      </c>
      <c r="V319" t="s">
        <v>40</v>
      </c>
      <c r="W319" t="s">
        <v>348</v>
      </c>
      <c r="X319" t="s">
        <v>41</v>
      </c>
      <c r="Y319" t="s">
        <v>41</v>
      </c>
      <c r="Z319" t="s">
        <v>43</v>
      </c>
      <c r="AA319">
        <v>1856</v>
      </c>
      <c r="AB319" t="s">
        <v>40</v>
      </c>
      <c r="AC319" t="s">
        <v>617</v>
      </c>
      <c r="AD319" t="s">
        <v>617</v>
      </c>
    </row>
    <row r="320" spans="1:30" x14ac:dyDescent="0.3">
      <c r="A320">
        <v>9161</v>
      </c>
      <c r="B320">
        <v>9161</v>
      </c>
      <c r="C320">
        <v>1</v>
      </c>
      <c r="D320" t="s">
        <v>654</v>
      </c>
      <c r="E320" t="s">
        <v>654</v>
      </c>
      <c r="F320" t="s">
        <v>158</v>
      </c>
      <c r="G320" t="s">
        <v>123</v>
      </c>
      <c r="H320" t="s">
        <v>39</v>
      </c>
      <c r="I320" t="s">
        <v>124</v>
      </c>
      <c r="J320" t="s">
        <v>41</v>
      </c>
      <c r="K320">
        <v>0</v>
      </c>
      <c r="L320">
        <v>0</v>
      </c>
      <c r="M320">
        <v>0</v>
      </c>
      <c r="N320">
        <v>400</v>
      </c>
      <c r="O320">
        <v>477.46113438272602</v>
      </c>
      <c r="P320" t="s">
        <v>41</v>
      </c>
      <c r="Q320">
        <v>0</v>
      </c>
      <c r="R320" t="s">
        <v>50</v>
      </c>
      <c r="S320">
        <v>1934</v>
      </c>
      <c r="T320" t="s">
        <v>66</v>
      </c>
      <c r="U320" t="s">
        <v>51</v>
      </c>
      <c r="V320" t="s">
        <v>655</v>
      </c>
      <c r="W320" t="s">
        <v>656</v>
      </c>
      <c r="X320" t="s">
        <v>41</v>
      </c>
      <c r="Y320" t="s">
        <v>41</v>
      </c>
      <c r="Z320" t="s">
        <v>43</v>
      </c>
      <c r="AA320">
        <v>1956</v>
      </c>
      <c r="AB320" t="s">
        <v>657</v>
      </c>
      <c r="AC320" t="s">
        <v>658</v>
      </c>
      <c r="AD320" t="s">
        <v>658</v>
      </c>
    </row>
    <row r="321" spans="1:30" x14ac:dyDescent="0.3">
      <c r="A321">
        <v>9162</v>
      </c>
      <c r="B321">
        <v>9162</v>
      </c>
      <c r="C321">
        <v>1</v>
      </c>
      <c r="D321" t="s">
        <v>659</v>
      </c>
      <c r="E321" t="s">
        <v>660</v>
      </c>
      <c r="F321" t="s">
        <v>158</v>
      </c>
      <c r="G321" t="s">
        <v>123</v>
      </c>
      <c r="H321" t="s">
        <v>39</v>
      </c>
      <c r="I321" t="s">
        <v>124</v>
      </c>
      <c r="J321" t="s">
        <v>41</v>
      </c>
      <c r="K321">
        <v>0</v>
      </c>
      <c r="L321">
        <v>0</v>
      </c>
      <c r="M321">
        <v>0</v>
      </c>
      <c r="N321">
        <v>90</v>
      </c>
      <c r="O321">
        <v>85.050107735570506</v>
      </c>
      <c r="P321" t="s">
        <v>41</v>
      </c>
      <c r="Q321">
        <v>0</v>
      </c>
      <c r="R321" t="s">
        <v>50</v>
      </c>
      <c r="S321">
        <v>1980</v>
      </c>
      <c r="T321" t="s">
        <v>66</v>
      </c>
      <c r="U321" t="s">
        <v>51</v>
      </c>
      <c r="V321" t="s">
        <v>655</v>
      </c>
      <c r="W321" t="s">
        <v>661</v>
      </c>
      <c r="X321" t="s">
        <v>41</v>
      </c>
      <c r="Y321" t="s">
        <v>41</v>
      </c>
      <c r="Z321" t="s">
        <v>43</v>
      </c>
      <c r="AA321">
        <v>1956</v>
      </c>
      <c r="AB321" t="s">
        <v>662</v>
      </c>
      <c r="AC321" t="s">
        <v>658</v>
      </c>
      <c r="AD321" t="s">
        <v>658</v>
      </c>
    </row>
    <row r="322" spans="1:30" x14ac:dyDescent="0.3">
      <c r="A322">
        <v>29685</v>
      </c>
      <c r="B322">
        <v>29685</v>
      </c>
      <c r="C322">
        <v>1</v>
      </c>
      <c r="D322" t="s">
        <v>663</v>
      </c>
      <c r="E322" t="s">
        <v>663</v>
      </c>
      <c r="F322" t="s">
        <v>664</v>
      </c>
      <c r="G322" t="s">
        <v>665</v>
      </c>
      <c r="H322" t="s">
        <v>39</v>
      </c>
      <c r="I322" t="s">
        <v>49</v>
      </c>
      <c r="J322" t="s">
        <v>41</v>
      </c>
      <c r="K322">
        <v>0</v>
      </c>
      <c r="L322">
        <v>0</v>
      </c>
      <c r="M322">
        <v>0</v>
      </c>
      <c r="N322">
        <v>6191.4294369500003</v>
      </c>
      <c r="O322">
        <v>6226.9564592711204</v>
      </c>
      <c r="P322" t="s">
        <v>41</v>
      </c>
      <c r="Q322">
        <v>0</v>
      </c>
      <c r="R322" t="s">
        <v>50</v>
      </c>
      <c r="S322">
        <v>1930</v>
      </c>
      <c r="T322" t="s">
        <v>40</v>
      </c>
      <c r="U322" t="s">
        <v>51</v>
      </c>
      <c r="V322" t="s">
        <v>40</v>
      </c>
      <c r="W322" t="s">
        <v>40</v>
      </c>
      <c r="X322" t="s">
        <v>41</v>
      </c>
      <c r="Y322" t="s">
        <v>41</v>
      </c>
      <c r="Z322" t="s">
        <v>43</v>
      </c>
      <c r="AA322">
        <v>1962</v>
      </c>
      <c r="AB322" t="s">
        <v>666</v>
      </c>
      <c r="AC322" t="s">
        <v>667</v>
      </c>
      <c r="AD322" t="s">
        <v>667</v>
      </c>
    </row>
    <row r="323" spans="1:30" x14ac:dyDescent="0.3">
      <c r="A323">
        <v>37043</v>
      </c>
      <c r="B323">
        <v>37043</v>
      </c>
      <c r="C323">
        <v>1</v>
      </c>
      <c r="D323" t="s">
        <v>668</v>
      </c>
      <c r="E323" t="s">
        <v>668</v>
      </c>
      <c r="F323" t="s">
        <v>171</v>
      </c>
      <c r="G323" t="s">
        <v>381</v>
      </c>
      <c r="H323" t="s">
        <v>39</v>
      </c>
      <c r="I323" t="s">
        <v>124</v>
      </c>
      <c r="J323" t="s">
        <v>41</v>
      </c>
      <c r="K323">
        <v>0</v>
      </c>
      <c r="L323">
        <v>0</v>
      </c>
      <c r="M323">
        <v>0</v>
      </c>
      <c r="N323">
        <v>13846.742707699899</v>
      </c>
      <c r="O323">
        <v>13939.5542650555</v>
      </c>
      <c r="P323" t="s">
        <v>41</v>
      </c>
      <c r="Q323">
        <v>0</v>
      </c>
      <c r="R323" t="s">
        <v>50</v>
      </c>
      <c r="S323">
        <v>1992</v>
      </c>
      <c r="T323" t="s">
        <v>40</v>
      </c>
      <c r="U323" t="s">
        <v>40</v>
      </c>
      <c r="V323" t="s">
        <v>40</v>
      </c>
      <c r="W323" t="s">
        <v>40</v>
      </c>
      <c r="X323" t="s">
        <v>41</v>
      </c>
      <c r="Y323" t="s">
        <v>41</v>
      </c>
      <c r="Z323" t="s">
        <v>43</v>
      </c>
      <c r="AA323">
        <v>1962</v>
      </c>
      <c r="AB323" t="s">
        <v>666</v>
      </c>
      <c r="AC323" t="s">
        <v>667</v>
      </c>
      <c r="AD323" t="s">
        <v>667</v>
      </c>
    </row>
    <row r="324" spans="1:30" x14ac:dyDescent="0.3">
      <c r="A324">
        <v>478291</v>
      </c>
      <c r="B324">
        <v>478291</v>
      </c>
      <c r="C324">
        <v>1</v>
      </c>
      <c r="D324" t="s">
        <v>669</v>
      </c>
      <c r="E324" t="s">
        <v>669</v>
      </c>
      <c r="F324" t="s">
        <v>353</v>
      </c>
      <c r="G324" t="s">
        <v>116</v>
      </c>
      <c r="H324" t="s">
        <v>82</v>
      </c>
      <c r="I324" t="s">
        <v>40</v>
      </c>
      <c r="J324" t="s">
        <v>40</v>
      </c>
      <c r="K324">
        <v>0</v>
      </c>
      <c r="L324">
        <v>0</v>
      </c>
      <c r="M324">
        <v>0</v>
      </c>
      <c r="N324">
        <v>8000</v>
      </c>
      <c r="O324">
        <v>7770.2774642002996</v>
      </c>
      <c r="P324" t="s">
        <v>41</v>
      </c>
      <c r="Q324">
        <v>0</v>
      </c>
      <c r="R324" t="s">
        <v>50</v>
      </c>
      <c r="S324">
        <v>1996</v>
      </c>
      <c r="T324" t="s">
        <v>40</v>
      </c>
      <c r="U324" t="s">
        <v>40</v>
      </c>
      <c r="V324" t="s">
        <v>40</v>
      </c>
      <c r="W324" t="s">
        <v>348</v>
      </c>
      <c r="X324" t="s">
        <v>41</v>
      </c>
      <c r="Y324" t="s">
        <v>41</v>
      </c>
      <c r="Z324" t="s">
        <v>43</v>
      </c>
      <c r="AA324">
        <v>1856</v>
      </c>
      <c r="AB324" t="s">
        <v>40</v>
      </c>
      <c r="AC324" t="s">
        <v>667</v>
      </c>
      <c r="AD324" t="s">
        <v>667</v>
      </c>
    </row>
    <row r="325" spans="1:30" x14ac:dyDescent="0.3">
      <c r="A325">
        <v>1082</v>
      </c>
      <c r="B325">
        <v>1082</v>
      </c>
      <c r="C325">
        <v>1</v>
      </c>
      <c r="D325" t="s">
        <v>670</v>
      </c>
      <c r="E325" t="s">
        <v>670</v>
      </c>
      <c r="F325" t="s">
        <v>158</v>
      </c>
      <c r="G325" t="s">
        <v>123</v>
      </c>
      <c r="H325" t="s">
        <v>39</v>
      </c>
      <c r="I325" t="s">
        <v>124</v>
      </c>
      <c r="J325" t="s">
        <v>41</v>
      </c>
      <c r="K325">
        <v>0</v>
      </c>
      <c r="L325">
        <v>0</v>
      </c>
      <c r="M325">
        <v>0</v>
      </c>
      <c r="N325">
        <v>6689.3719935099898</v>
      </c>
      <c r="O325">
        <v>6730.8123185701797</v>
      </c>
      <c r="P325" t="s">
        <v>41</v>
      </c>
      <c r="Q325">
        <v>0</v>
      </c>
      <c r="R325" t="s">
        <v>50</v>
      </c>
      <c r="S325">
        <v>1970</v>
      </c>
      <c r="T325" t="s">
        <v>40</v>
      </c>
      <c r="U325" t="s">
        <v>51</v>
      </c>
      <c r="V325" t="s">
        <v>671</v>
      </c>
      <c r="W325" t="s">
        <v>40</v>
      </c>
      <c r="X325" t="s">
        <v>41</v>
      </c>
      <c r="Y325" t="s">
        <v>41</v>
      </c>
      <c r="Z325" t="s">
        <v>43</v>
      </c>
      <c r="AA325">
        <v>1962</v>
      </c>
      <c r="AB325" t="s">
        <v>40</v>
      </c>
      <c r="AC325" t="s">
        <v>667</v>
      </c>
      <c r="AD325" t="s">
        <v>667</v>
      </c>
    </row>
    <row r="326" spans="1:30" x14ac:dyDescent="0.3">
      <c r="A326">
        <v>555512070</v>
      </c>
      <c r="B326">
        <v>555512070</v>
      </c>
      <c r="C326">
        <v>1</v>
      </c>
      <c r="D326" t="s">
        <v>672</v>
      </c>
      <c r="E326" t="s">
        <v>672</v>
      </c>
      <c r="F326" t="s">
        <v>673</v>
      </c>
      <c r="G326" t="s">
        <v>674</v>
      </c>
      <c r="H326" t="s">
        <v>39</v>
      </c>
      <c r="I326" t="s">
        <v>40</v>
      </c>
      <c r="J326" t="s">
        <v>41</v>
      </c>
      <c r="K326">
        <v>0</v>
      </c>
      <c r="L326">
        <v>0</v>
      </c>
      <c r="M326">
        <v>0</v>
      </c>
      <c r="N326">
        <v>687.37355326500006</v>
      </c>
      <c r="O326">
        <v>666.99717016955697</v>
      </c>
      <c r="P326" t="s">
        <v>41</v>
      </c>
      <c r="Q326">
        <v>0</v>
      </c>
      <c r="R326" t="s">
        <v>50</v>
      </c>
      <c r="S326">
        <v>0</v>
      </c>
      <c r="T326" t="s">
        <v>40</v>
      </c>
      <c r="U326" t="s">
        <v>40</v>
      </c>
      <c r="V326" t="s">
        <v>40</v>
      </c>
      <c r="W326" t="s">
        <v>40</v>
      </c>
      <c r="X326" t="s">
        <v>41</v>
      </c>
      <c r="Y326" t="s">
        <v>41</v>
      </c>
      <c r="Z326" t="s">
        <v>43</v>
      </c>
      <c r="AA326">
        <v>1962</v>
      </c>
      <c r="AB326" t="s">
        <v>675</v>
      </c>
      <c r="AC326" t="s">
        <v>667</v>
      </c>
      <c r="AD326" t="s">
        <v>667</v>
      </c>
    </row>
    <row r="327" spans="1:30" x14ac:dyDescent="0.3">
      <c r="A327">
        <v>555512075</v>
      </c>
      <c r="B327">
        <v>555512075</v>
      </c>
      <c r="C327">
        <v>1</v>
      </c>
      <c r="D327" t="s">
        <v>676</v>
      </c>
      <c r="E327" t="s">
        <v>676</v>
      </c>
      <c r="F327" t="s">
        <v>677</v>
      </c>
      <c r="G327" t="s">
        <v>678</v>
      </c>
      <c r="H327" t="s">
        <v>39</v>
      </c>
      <c r="I327" t="s">
        <v>40</v>
      </c>
      <c r="J327" t="s">
        <v>41</v>
      </c>
      <c r="K327">
        <v>0</v>
      </c>
      <c r="L327">
        <v>0</v>
      </c>
      <c r="M327">
        <v>0</v>
      </c>
      <c r="N327">
        <v>446.5</v>
      </c>
      <c r="O327">
        <v>3292.0785048596599</v>
      </c>
      <c r="P327" t="s">
        <v>41</v>
      </c>
      <c r="Q327">
        <v>0</v>
      </c>
      <c r="R327" t="s">
        <v>50</v>
      </c>
      <c r="S327">
        <v>0</v>
      </c>
      <c r="T327" t="s">
        <v>40</v>
      </c>
      <c r="U327" t="s">
        <v>40</v>
      </c>
      <c r="V327" t="s">
        <v>40</v>
      </c>
      <c r="W327" t="s">
        <v>40</v>
      </c>
      <c r="X327" t="s">
        <v>41</v>
      </c>
      <c r="Y327" t="s">
        <v>41</v>
      </c>
      <c r="Z327" t="s">
        <v>43</v>
      </c>
      <c r="AA327">
        <v>1962</v>
      </c>
      <c r="AB327" t="s">
        <v>675</v>
      </c>
      <c r="AC327" t="s">
        <v>667</v>
      </c>
      <c r="AD327" t="s">
        <v>667</v>
      </c>
    </row>
    <row r="328" spans="1:30" x14ac:dyDescent="0.3">
      <c r="A328">
        <v>166889</v>
      </c>
      <c r="B328">
        <v>166889</v>
      </c>
      <c r="C328">
        <v>1</v>
      </c>
      <c r="D328" t="s">
        <v>679</v>
      </c>
      <c r="E328" t="s">
        <v>679</v>
      </c>
      <c r="F328" t="s">
        <v>158</v>
      </c>
      <c r="G328" t="s">
        <v>123</v>
      </c>
      <c r="H328" t="s">
        <v>39</v>
      </c>
      <c r="I328" t="s">
        <v>124</v>
      </c>
      <c r="J328" t="s">
        <v>41</v>
      </c>
      <c r="K328">
        <v>0</v>
      </c>
      <c r="L328">
        <v>0</v>
      </c>
      <c r="M328">
        <v>0</v>
      </c>
      <c r="N328">
        <v>7768.9276785700004</v>
      </c>
      <c r="O328">
        <v>7826.5277842567803</v>
      </c>
      <c r="P328" t="s">
        <v>41</v>
      </c>
      <c r="Q328">
        <v>0</v>
      </c>
      <c r="R328" t="s">
        <v>50</v>
      </c>
      <c r="S328">
        <v>1925</v>
      </c>
      <c r="T328" t="s">
        <v>40</v>
      </c>
      <c r="U328" t="s">
        <v>40</v>
      </c>
      <c r="V328" t="s">
        <v>40</v>
      </c>
      <c r="W328" t="s">
        <v>40</v>
      </c>
      <c r="X328" t="s">
        <v>41</v>
      </c>
      <c r="Y328" t="s">
        <v>41</v>
      </c>
      <c r="Z328" t="s">
        <v>43</v>
      </c>
      <c r="AA328">
        <v>1962</v>
      </c>
      <c r="AB328" t="s">
        <v>40</v>
      </c>
      <c r="AC328" t="s">
        <v>667</v>
      </c>
      <c r="AD328" t="s">
        <v>667</v>
      </c>
    </row>
    <row r="329" spans="1:30" x14ac:dyDescent="0.3">
      <c r="A329">
        <v>555542678</v>
      </c>
      <c r="B329">
        <v>555542678</v>
      </c>
      <c r="C329">
        <v>1</v>
      </c>
      <c r="D329" t="s">
        <v>680</v>
      </c>
      <c r="E329" t="s">
        <v>680</v>
      </c>
      <c r="F329" t="s">
        <v>116</v>
      </c>
      <c r="G329" t="s">
        <v>116</v>
      </c>
      <c r="H329" t="s">
        <v>82</v>
      </c>
      <c r="I329" t="s">
        <v>40</v>
      </c>
      <c r="J329" t="s">
        <v>681</v>
      </c>
      <c r="K329">
        <v>0</v>
      </c>
      <c r="L329">
        <v>0</v>
      </c>
      <c r="M329">
        <v>0</v>
      </c>
      <c r="N329">
        <v>90.579999999999899</v>
      </c>
      <c r="O329">
        <v>90.869297325979701</v>
      </c>
      <c r="P329" t="s">
        <v>41</v>
      </c>
      <c r="Q329">
        <v>0</v>
      </c>
      <c r="R329" t="s">
        <v>50</v>
      </c>
      <c r="S329">
        <v>2011</v>
      </c>
      <c r="T329" t="s">
        <v>66</v>
      </c>
      <c r="U329" t="s">
        <v>40</v>
      </c>
      <c r="V329" t="s">
        <v>40</v>
      </c>
      <c r="W329" t="s">
        <v>180</v>
      </c>
      <c r="X329" t="s">
        <v>41</v>
      </c>
      <c r="Y329" t="s">
        <v>41</v>
      </c>
      <c r="Z329" t="s">
        <v>43</v>
      </c>
      <c r="AA329">
        <v>1970</v>
      </c>
      <c r="AB329" t="s">
        <v>682</v>
      </c>
      <c r="AC329" t="s">
        <v>182</v>
      </c>
      <c r="AD329" t="s">
        <v>182</v>
      </c>
    </row>
    <row r="330" spans="1:30" x14ac:dyDescent="0.3">
      <c r="A330">
        <v>9186</v>
      </c>
      <c r="B330">
        <v>9186</v>
      </c>
      <c r="C330">
        <v>1</v>
      </c>
      <c r="D330" t="s">
        <v>683</v>
      </c>
      <c r="E330" t="s">
        <v>683</v>
      </c>
      <c r="F330" t="s">
        <v>684</v>
      </c>
      <c r="G330" t="s">
        <v>684</v>
      </c>
      <c r="H330" t="s">
        <v>39</v>
      </c>
      <c r="I330" t="s">
        <v>49</v>
      </c>
      <c r="J330" t="s">
        <v>41</v>
      </c>
      <c r="K330">
        <v>0</v>
      </c>
      <c r="L330">
        <v>0</v>
      </c>
      <c r="M330">
        <v>0</v>
      </c>
      <c r="N330">
        <v>107</v>
      </c>
      <c r="O330">
        <v>107.24602228461001</v>
      </c>
      <c r="P330" t="s">
        <v>41</v>
      </c>
      <c r="Q330">
        <v>0</v>
      </c>
      <c r="R330" t="s">
        <v>50</v>
      </c>
      <c r="S330">
        <v>2002</v>
      </c>
      <c r="T330" t="s">
        <v>66</v>
      </c>
      <c r="U330" t="s">
        <v>51</v>
      </c>
      <c r="V330" t="s">
        <v>685</v>
      </c>
      <c r="W330" t="s">
        <v>40</v>
      </c>
      <c r="X330" t="s">
        <v>41</v>
      </c>
      <c r="Y330" t="s">
        <v>41</v>
      </c>
      <c r="Z330" t="s">
        <v>43</v>
      </c>
      <c r="AA330">
        <v>1442</v>
      </c>
      <c r="AB330" t="s">
        <v>686</v>
      </c>
      <c r="AC330" t="s">
        <v>142</v>
      </c>
      <c r="AD330" t="s">
        <v>142</v>
      </c>
    </row>
    <row r="331" spans="1:30" x14ac:dyDescent="0.3">
      <c r="A331">
        <v>7931</v>
      </c>
      <c r="B331">
        <v>7931</v>
      </c>
      <c r="C331">
        <v>1</v>
      </c>
      <c r="D331" t="s">
        <v>687</v>
      </c>
      <c r="E331" t="s">
        <v>687</v>
      </c>
      <c r="F331" t="s">
        <v>688</v>
      </c>
      <c r="G331" t="s">
        <v>688</v>
      </c>
      <c r="H331" t="s">
        <v>39</v>
      </c>
      <c r="I331" t="s">
        <v>49</v>
      </c>
      <c r="J331" t="s">
        <v>41</v>
      </c>
      <c r="K331">
        <v>0</v>
      </c>
      <c r="L331">
        <v>0</v>
      </c>
      <c r="M331">
        <v>0</v>
      </c>
      <c r="N331">
        <v>10</v>
      </c>
      <c r="O331">
        <v>50.232542658998497</v>
      </c>
      <c r="P331" t="s">
        <v>41</v>
      </c>
      <c r="Q331">
        <v>0</v>
      </c>
      <c r="R331" t="s">
        <v>50</v>
      </c>
      <c r="S331">
        <v>1953</v>
      </c>
      <c r="T331" t="s">
        <v>66</v>
      </c>
      <c r="U331" t="s">
        <v>51</v>
      </c>
      <c r="V331" t="s">
        <v>40</v>
      </c>
      <c r="W331" t="s">
        <v>40</v>
      </c>
      <c r="X331" t="s">
        <v>41</v>
      </c>
      <c r="Y331" t="s">
        <v>41</v>
      </c>
      <c r="Z331" t="s">
        <v>43</v>
      </c>
      <c r="AA331">
        <v>1442</v>
      </c>
      <c r="AB331" t="s">
        <v>689</v>
      </c>
      <c r="AC331" t="s">
        <v>142</v>
      </c>
      <c r="AD331" t="s">
        <v>142</v>
      </c>
    </row>
    <row r="332" spans="1:30" x14ac:dyDescent="0.3">
      <c r="A332">
        <v>40002</v>
      </c>
      <c r="B332">
        <v>40002</v>
      </c>
      <c r="C332">
        <v>1</v>
      </c>
      <c r="D332" t="s">
        <v>690</v>
      </c>
      <c r="E332" t="s">
        <v>690</v>
      </c>
      <c r="F332" t="s">
        <v>123</v>
      </c>
      <c r="G332" t="s">
        <v>123</v>
      </c>
      <c r="H332" t="s">
        <v>39</v>
      </c>
      <c r="I332" t="s">
        <v>124</v>
      </c>
      <c r="J332" t="s">
        <v>41</v>
      </c>
      <c r="K332">
        <v>0</v>
      </c>
      <c r="L332">
        <v>0</v>
      </c>
      <c r="M332">
        <v>0</v>
      </c>
      <c r="N332">
        <v>766</v>
      </c>
      <c r="O332">
        <v>788.68214694760104</v>
      </c>
      <c r="P332" t="s">
        <v>41</v>
      </c>
      <c r="Q332">
        <v>0</v>
      </c>
      <c r="R332" t="s">
        <v>50</v>
      </c>
      <c r="S332">
        <v>0</v>
      </c>
      <c r="T332" t="s">
        <v>66</v>
      </c>
      <c r="U332" t="s">
        <v>51</v>
      </c>
      <c r="V332" t="s">
        <v>685</v>
      </c>
      <c r="W332" t="s">
        <v>40</v>
      </c>
      <c r="X332" t="s">
        <v>41</v>
      </c>
      <c r="Y332" t="s">
        <v>41</v>
      </c>
      <c r="Z332" t="s">
        <v>43</v>
      </c>
      <c r="AA332">
        <v>1442</v>
      </c>
      <c r="AB332" t="s">
        <v>691</v>
      </c>
      <c r="AC332" t="s">
        <v>142</v>
      </c>
      <c r="AD332" t="s">
        <v>142</v>
      </c>
    </row>
    <row r="333" spans="1:30" x14ac:dyDescent="0.3">
      <c r="A333">
        <v>313110</v>
      </c>
      <c r="B333">
        <v>313110</v>
      </c>
      <c r="C333">
        <v>1</v>
      </c>
      <c r="D333" t="s">
        <v>692</v>
      </c>
      <c r="E333" t="s">
        <v>692</v>
      </c>
      <c r="F333" t="s">
        <v>381</v>
      </c>
      <c r="G333" t="s">
        <v>381</v>
      </c>
      <c r="H333" t="s">
        <v>39</v>
      </c>
      <c r="I333" t="s">
        <v>218</v>
      </c>
      <c r="J333" t="s">
        <v>41</v>
      </c>
      <c r="K333">
        <v>0</v>
      </c>
      <c r="L333">
        <v>0</v>
      </c>
      <c r="M333">
        <v>0</v>
      </c>
      <c r="N333">
        <v>87</v>
      </c>
      <c r="O333">
        <v>86.929141828342694</v>
      </c>
      <c r="P333" t="s">
        <v>41</v>
      </c>
      <c r="Q333">
        <v>0</v>
      </c>
      <c r="R333" t="s">
        <v>50</v>
      </c>
      <c r="S333">
        <v>0</v>
      </c>
      <c r="T333" t="s">
        <v>66</v>
      </c>
      <c r="U333" t="s">
        <v>51</v>
      </c>
      <c r="V333" t="s">
        <v>685</v>
      </c>
      <c r="W333" t="s">
        <v>40</v>
      </c>
      <c r="X333" t="s">
        <v>41</v>
      </c>
      <c r="Y333" t="s">
        <v>41</v>
      </c>
      <c r="Z333" t="s">
        <v>43</v>
      </c>
      <c r="AA333">
        <v>1442</v>
      </c>
      <c r="AB333" t="s">
        <v>686</v>
      </c>
      <c r="AC333" t="s">
        <v>142</v>
      </c>
      <c r="AD333" t="s">
        <v>142</v>
      </c>
    </row>
    <row r="334" spans="1:30" x14ac:dyDescent="0.3">
      <c r="A334">
        <v>957</v>
      </c>
      <c r="B334">
        <v>957</v>
      </c>
      <c r="C334">
        <v>1</v>
      </c>
      <c r="D334" t="s">
        <v>693</v>
      </c>
      <c r="E334" t="s">
        <v>693</v>
      </c>
      <c r="F334" t="s">
        <v>123</v>
      </c>
      <c r="G334" t="s">
        <v>123</v>
      </c>
      <c r="H334" t="s">
        <v>39</v>
      </c>
      <c r="I334" t="s">
        <v>124</v>
      </c>
      <c r="J334" t="s">
        <v>41</v>
      </c>
      <c r="K334">
        <v>0</v>
      </c>
      <c r="L334">
        <v>0</v>
      </c>
      <c r="M334">
        <v>0</v>
      </c>
      <c r="N334">
        <v>2056</v>
      </c>
      <c r="O334">
        <v>2098.5449223352098</v>
      </c>
      <c r="P334" t="s">
        <v>41</v>
      </c>
      <c r="Q334">
        <v>0</v>
      </c>
      <c r="R334" t="s">
        <v>50</v>
      </c>
      <c r="S334">
        <v>1952</v>
      </c>
      <c r="T334" t="s">
        <v>66</v>
      </c>
      <c r="U334" t="s">
        <v>51</v>
      </c>
      <c r="V334" t="s">
        <v>685</v>
      </c>
      <c r="W334" t="s">
        <v>40</v>
      </c>
      <c r="X334" t="s">
        <v>41</v>
      </c>
      <c r="Y334" t="s">
        <v>41</v>
      </c>
      <c r="Z334" t="s">
        <v>43</v>
      </c>
      <c r="AA334">
        <v>1442</v>
      </c>
      <c r="AB334" t="s">
        <v>575</v>
      </c>
      <c r="AC334" t="s">
        <v>142</v>
      </c>
      <c r="AD334" t="s">
        <v>142</v>
      </c>
    </row>
    <row r="335" spans="1:30" x14ac:dyDescent="0.3">
      <c r="A335">
        <v>9740</v>
      </c>
      <c r="B335">
        <v>9740</v>
      </c>
      <c r="C335">
        <v>1</v>
      </c>
      <c r="D335" t="s">
        <v>694</v>
      </c>
      <c r="E335" t="s">
        <v>694</v>
      </c>
      <c r="F335" t="s">
        <v>158</v>
      </c>
      <c r="G335" t="s">
        <v>123</v>
      </c>
      <c r="H335" t="s">
        <v>39</v>
      </c>
      <c r="I335" t="s">
        <v>124</v>
      </c>
      <c r="J335" t="s">
        <v>41</v>
      </c>
      <c r="K335">
        <v>0</v>
      </c>
      <c r="L335">
        <v>0</v>
      </c>
      <c r="M335">
        <v>0</v>
      </c>
      <c r="N335">
        <v>265.87</v>
      </c>
      <c r="O335">
        <v>276.85841082126501</v>
      </c>
      <c r="P335" t="s">
        <v>41</v>
      </c>
      <c r="Q335">
        <v>0</v>
      </c>
      <c r="R335" t="s">
        <v>50</v>
      </c>
      <c r="S335">
        <v>1983</v>
      </c>
      <c r="T335" t="s">
        <v>66</v>
      </c>
      <c r="U335" t="s">
        <v>51</v>
      </c>
      <c r="V335" t="s">
        <v>184</v>
      </c>
      <c r="W335" t="s">
        <v>185</v>
      </c>
      <c r="X335" t="s">
        <v>41</v>
      </c>
      <c r="Y335" t="s">
        <v>41</v>
      </c>
      <c r="Z335" t="s">
        <v>43</v>
      </c>
      <c r="AA335">
        <v>1970</v>
      </c>
      <c r="AB335" t="s">
        <v>695</v>
      </c>
      <c r="AC335" t="s">
        <v>182</v>
      </c>
      <c r="AD335" t="s">
        <v>182</v>
      </c>
    </row>
    <row r="336" spans="1:30" x14ac:dyDescent="0.3">
      <c r="A336">
        <v>902854</v>
      </c>
      <c r="B336">
        <v>902854</v>
      </c>
      <c r="C336">
        <v>1</v>
      </c>
      <c r="D336" t="s">
        <v>696</v>
      </c>
      <c r="E336" t="s">
        <v>696</v>
      </c>
      <c r="F336" t="s">
        <v>116</v>
      </c>
      <c r="G336" t="s">
        <v>116</v>
      </c>
      <c r="H336" t="s">
        <v>82</v>
      </c>
      <c r="I336" t="s">
        <v>40</v>
      </c>
      <c r="J336" t="s">
        <v>697</v>
      </c>
      <c r="K336">
        <v>0</v>
      </c>
      <c r="L336">
        <v>0</v>
      </c>
      <c r="M336">
        <v>0</v>
      </c>
      <c r="N336">
        <v>189.469999999999</v>
      </c>
      <c r="O336">
        <v>192.461635006249</v>
      </c>
      <c r="P336" t="s">
        <v>41</v>
      </c>
      <c r="Q336">
        <v>0</v>
      </c>
      <c r="R336" t="s">
        <v>50</v>
      </c>
      <c r="S336">
        <v>2004</v>
      </c>
      <c r="T336" t="s">
        <v>66</v>
      </c>
      <c r="U336" t="s">
        <v>40</v>
      </c>
      <c r="V336" t="s">
        <v>40</v>
      </c>
      <c r="W336" t="s">
        <v>180</v>
      </c>
      <c r="X336" t="s">
        <v>41</v>
      </c>
      <c r="Y336" t="s">
        <v>41</v>
      </c>
      <c r="Z336" t="s">
        <v>43</v>
      </c>
      <c r="AA336">
        <v>1970</v>
      </c>
      <c r="AB336" t="s">
        <v>698</v>
      </c>
      <c r="AC336" t="s">
        <v>182</v>
      </c>
      <c r="AD336" t="s">
        <v>182</v>
      </c>
    </row>
    <row r="337" spans="1:30" x14ac:dyDescent="0.3">
      <c r="A337">
        <v>901224</v>
      </c>
      <c r="B337">
        <v>901224</v>
      </c>
      <c r="C337">
        <v>1</v>
      </c>
      <c r="D337" t="s">
        <v>699</v>
      </c>
      <c r="E337" t="s">
        <v>699</v>
      </c>
      <c r="F337" t="s">
        <v>116</v>
      </c>
      <c r="G337" t="s">
        <v>116</v>
      </c>
      <c r="H337" t="s">
        <v>82</v>
      </c>
      <c r="I337" t="s">
        <v>40</v>
      </c>
      <c r="J337" t="s">
        <v>700</v>
      </c>
      <c r="K337">
        <v>0</v>
      </c>
      <c r="L337">
        <v>0</v>
      </c>
      <c r="M337">
        <v>0</v>
      </c>
      <c r="N337">
        <v>522</v>
      </c>
      <c r="O337">
        <v>524.07504284430104</v>
      </c>
      <c r="P337" t="s">
        <v>41</v>
      </c>
      <c r="Q337">
        <v>0</v>
      </c>
      <c r="R337" t="s">
        <v>50</v>
      </c>
      <c r="S337">
        <v>2003</v>
      </c>
      <c r="T337" t="s">
        <v>66</v>
      </c>
      <c r="U337" t="s">
        <v>40</v>
      </c>
      <c r="V337" t="s">
        <v>40</v>
      </c>
      <c r="W337" t="s">
        <v>180</v>
      </c>
      <c r="X337" t="s">
        <v>41</v>
      </c>
      <c r="Y337" t="s">
        <v>41</v>
      </c>
      <c r="Z337" t="s">
        <v>43</v>
      </c>
      <c r="AA337">
        <v>1970</v>
      </c>
      <c r="AB337" t="s">
        <v>701</v>
      </c>
      <c r="AC337" t="s">
        <v>182</v>
      </c>
      <c r="AD337" t="s">
        <v>182</v>
      </c>
    </row>
    <row r="338" spans="1:30" x14ac:dyDescent="0.3">
      <c r="A338">
        <v>900575</v>
      </c>
      <c r="B338">
        <v>900575</v>
      </c>
      <c r="C338">
        <v>1</v>
      </c>
      <c r="D338" t="s">
        <v>702</v>
      </c>
      <c r="E338" t="s">
        <v>702</v>
      </c>
      <c r="F338" t="s">
        <v>116</v>
      </c>
      <c r="G338" t="s">
        <v>116</v>
      </c>
      <c r="H338" t="s">
        <v>82</v>
      </c>
      <c r="I338" t="s">
        <v>40</v>
      </c>
      <c r="J338" t="s">
        <v>700</v>
      </c>
      <c r="K338">
        <v>0</v>
      </c>
      <c r="L338">
        <v>0</v>
      </c>
      <c r="M338">
        <v>0</v>
      </c>
      <c r="N338">
        <v>445</v>
      </c>
      <c r="O338">
        <v>440.78852680272502</v>
      </c>
      <c r="P338" t="s">
        <v>41</v>
      </c>
      <c r="Q338">
        <v>0</v>
      </c>
      <c r="R338" t="s">
        <v>50</v>
      </c>
      <c r="S338">
        <v>2001</v>
      </c>
      <c r="T338" t="s">
        <v>66</v>
      </c>
      <c r="U338" t="s">
        <v>40</v>
      </c>
      <c r="V338" t="s">
        <v>40</v>
      </c>
      <c r="W338" t="s">
        <v>180</v>
      </c>
      <c r="X338" t="s">
        <v>41</v>
      </c>
      <c r="Y338" t="s">
        <v>41</v>
      </c>
      <c r="Z338" t="s">
        <v>43</v>
      </c>
      <c r="AA338">
        <v>1970</v>
      </c>
      <c r="AB338" t="s">
        <v>703</v>
      </c>
      <c r="AC338" t="s">
        <v>182</v>
      </c>
      <c r="AD338" t="s">
        <v>182</v>
      </c>
    </row>
    <row r="339" spans="1:30" x14ac:dyDescent="0.3">
      <c r="A339">
        <v>900713</v>
      </c>
      <c r="B339">
        <v>900713</v>
      </c>
      <c r="C339">
        <v>1</v>
      </c>
      <c r="D339" t="s">
        <v>694</v>
      </c>
      <c r="E339" t="s">
        <v>694</v>
      </c>
      <c r="F339" t="s">
        <v>81</v>
      </c>
      <c r="G339" t="s">
        <v>81</v>
      </c>
      <c r="H339" t="s">
        <v>82</v>
      </c>
      <c r="I339" t="s">
        <v>41</v>
      </c>
      <c r="J339" t="s">
        <v>41</v>
      </c>
      <c r="K339">
        <v>0</v>
      </c>
      <c r="L339">
        <v>0</v>
      </c>
      <c r="M339">
        <v>0</v>
      </c>
      <c r="N339">
        <v>369.85</v>
      </c>
      <c r="O339">
        <v>412.16013146883603</v>
      </c>
      <c r="P339" t="s">
        <v>41</v>
      </c>
      <c r="Q339">
        <v>0</v>
      </c>
      <c r="R339" t="s">
        <v>50</v>
      </c>
      <c r="S339">
        <v>2002</v>
      </c>
      <c r="T339" t="s">
        <v>40</v>
      </c>
      <c r="U339" t="s">
        <v>51</v>
      </c>
      <c r="V339" t="s">
        <v>184</v>
      </c>
      <c r="W339" t="s">
        <v>40</v>
      </c>
      <c r="X339" t="s">
        <v>41</v>
      </c>
      <c r="Y339" t="s">
        <v>41</v>
      </c>
      <c r="Z339" t="s">
        <v>43</v>
      </c>
      <c r="AA339">
        <v>1970</v>
      </c>
      <c r="AB339" t="s">
        <v>704</v>
      </c>
      <c r="AC339" t="s">
        <v>182</v>
      </c>
      <c r="AD339" t="s">
        <v>182</v>
      </c>
    </row>
    <row r="340" spans="1:30" x14ac:dyDescent="0.3">
      <c r="A340">
        <v>555622008</v>
      </c>
      <c r="B340">
        <v>555622008</v>
      </c>
      <c r="C340">
        <v>1</v>
      </c>
      <c r="D340" t="s">
        <v>705</v>
      </c>
      <c r="E340" t="s">
        <v>705</v>
      </c>
      <c r="F340" t="s">
        <v>706</v>
      </c>
      <c r="G340" t="s">
        <v>706</v>
      </c>
      <c r="H340" t="s">
        <v>39</v>
      </c>
      <c r="I340" t="s">
        <v>40</v>
      </c>
      <c r="J340" t="s">
        <v>41</v>
      </c>
      <c r="K340">
        <v>0</v>
      </c>
      <c r="L340">
        <v>0</v>
      </c>
      <c r="M340">
        <v>0</v>
      </c>
      <c r="N340">
        <v>3.99</v>
      </c>
      <c r="O340">
        <v>6.2774000087652704</v>
      </c>
      <c r="P340" t="s">
        <v>41</v>
      </c>
      <c r="Q340">
        <v>0</v>
      </c>
      <c r="R340" t="s">
        <v>50</v>
      </c>
      <c r="S340">
        <v>2000</v>
      </c>
      <c r="T340" t="s">
        <v>66</v>
      </c>
      <c r="U340" t="s">
        <v>40</v>
      </c>
      <c r="V340" t="s">
        <v>204</v>
      </c>
      <c r="W340" t="s">
        <v>40</v>
      </c>
      <c r="X340" t="s">
        <v>41</v>
      </c>
      <c r="Y340" t="s">
        <v>41</v>
      </c>
      <c r="Z340" t="s">
        <v>43</v>
      </c>
      <c r="AA340">
        <v>933</v>
      </c>
      <c r="AB340" t="s">
        <v>40</v>
      </c>
      <c r="AC340" t="s">
        <v>87</v>
      </c>
      <c r="AD340" t="s">
        <v>87</v>
      </c>
    </row>
    <row r="341" spans="1:30" x14ac:dyDescent="0.3">
      <c r="A341">
        <v>2422</v>
      </c>
      <c r="B341">
        <v>2422</v>
      </c>
      <c r="C341">
        <v>1</v>
      </c>
      <c r="D341" t="s">
        <v>707</v>
      </c>
      <c r="E341" t="s">
        <v>707</v>
      </c>
      <c r="F341" t="s">
        <v>203</v>
      </c>
      <c r="G341" t="s">
        <v>203</v>
      </c>
      <c r="H341" t="s">
        <v>39</v>
      </c>
      <c r="I341" t="s">
        <v>49</v>
      </c>
      <c r="J341" t="s">
        <v>41</v>
      </c>
      <c r="K341">
        <v>0</v>
      </c>
      <c r="L341">
        <v>0</v>
      </c>
      <c r="M341">
        <v>0</v>
      </c>
      <c r="N341">
        <v>606</v>
      </c>
      <c r="O341">
        <v>606.81567535302304</v>
      </c>
      <c r="P341" t="s">
        <v>41</v>
      </c>
      <c r="Q341">
        <v>0</v>
      </c>
      <c r="R341" t="s">
        <v>50</v>
      </c>
      <c r="S341">
        <v>1979</v>
      </c>
      <c r="T341" t="s">
        <v>66</v>
      </c>
      <c r="U341" t="s">
        <v>51</v>
      </c>
      <c r="V341" t="s">
        <v>204</v>
      </c>
      <c r="W341" t="s">
        <v>40</v>
      </c>
      <c r="X341" t="s">
        <v>41</v>
      </c>
      <c r="Y341" t="s">
        <v>41</v>
      </c>
      <c r="Z341" t="s">
        <v>43</v>
      </c>
      <c r="AA341">
        <v>933</v>
      </c>
      <c r="AB341" t="s">
        <v>40</v>
      </c>
      <c r="AC341" t="s">
        <v>87</v>
      </c>
      <c r="AD341" t="s">
        <v>87</v>
      </c>
    </row>
    <row r="342" spans="1:30" x14ac:dyDescent="0.3">
      <c r="A342">
        <v>2295</v>
      </c>
      <c r="B342">
        <v>2295</v>
      </c>
      <c r="C342">
        <v>1</v>
      </c>
      <c r="D342" t="s">
        <v>708</v>
      </c>
      <c r="E342" t="s">
        <v>708</v>
      </c>
      <c r="F342" t="s">
        <v>203</v>
      </c>
      <c r="G342" t="s">
        <v>203</v>
      </c>
      <c r="H342" t="s">
        <v>39</v>
      </c>
      <c r="I342" t="s">
        <v>124</v>
      </c>
      <c r="J342" t="s">
        <v>41</v>
      </c>
      <c r="K342">
        <v>0</v>
      </c>
      <c r="L342">
        <v>0</v>
      </c>
      <c r="M342">
        <v>0</v>
      </c>
      <c r="N342">
        <v>131</v>
      </c>
      <c r="O342">
        <v>130.086411992195</v>
      </c>
      <c r="P342" t="s">
        <v>41</v>
      </c>
      <c r="Q342">
        <v>0</v>
      </c>
      <c r="R342" t="s">
        <v>50</v>
      </c>
      <c r="S342">
        <v>1985</v>
      </c>
      <c r="T342" t="s">
        <v>66</v>
      </c>
      <c r="U342" t="s">
        <v>51</v>
      </c>
      <c r="V342" t="s">
        <v>204</v>
      </c>
      <c r="W342" t="s">
        <v>40</v>
      </c>
      <c r="X342" t="s">
        <v>41</v>
      </c>
      <c r="Y342" t="s">
        <v>41</v>
      </c>
      <c r="Z342" t="s">
        <v>43</v>
      </c>
      <c r="AA342">
        <v>933</v>
      </c>
      <c r="AB342" t="s">
        <v>40</v>
      </c>
      <c r="AC342" t="s">
        <v>87</v>
      </c>
      <c r="AD342" t="s">
        <v>87</v>
      </c>
    </row>
    <row r="343" spans="1:30" x14ac:dyDescent="0.3">
      <c r="A343">
        <v>2416</v>
      </c>
      <c r="B343">
        <v>2416</v>
      </c>
      <c r="C343">
        <v>1</v>
      </c>
      <c r="D343" t="s">
        <v>709</v>
      </c>
      <c r="E343" t="s">
        <v>709</v>
      </c>
      <c r="F343" t="s">
        <v>123</v>
      </c>
      <c r="G343" t="s">
        <v>123</v>
      </c>
      <c r="H343" t="s">
        <v>39</v>
      </c>
      <c r="I343" t="s">
        <v>124</v>
      </c>
      <c r="J343" t="s">
        <v>41</v>
      </c>
      <c r="K343">
        <v>0</v>
      </c>
      <c r="L343">
        <v>0</v>
      </c>
      <c r="M343">
        <v>0</v>
      </c>
      <c r="N343">
        <v>1787</v>
      </c>
      <c r="O343">
        <v>1790.22891515643</v>
      </c>
      <c r="P343" t="s">
        <v>41</v>
      </c>
      <c r="Q343">
        <v>0</v>
      </c>
      <c r="R343" t="s">
        <v>50</v>
      </c>
      <c r="S343">
        <v>1989</v>
      </c>
      <c r="T343" t="s">
        <v>66</v>
      </c>
      <c r="U343" t="s">
        <v>51</v>
      </c>
      <c r="V343" t="s">
        <v>204</v>
      </c>
      <c r="W343" t="s">
        <v>40</v>
      </c>
      <c r="X343" t="s">
        <v>41</v>
      </c>
      <c r="Y343" t="s">
        <v>41</v>
      </c>
      <c r="Z343" t="s">
        <v>43</v>
      </c>
      <c r="AA343">
        <v>933</v>
      </c>
      <c r="AB343" t="s">
        <v>40</v>
      </c>
      <c r="AC343" t="s">
        <v>87</v>
      </c>
      <c r="AD343" t="s">
        <v>87</v>
      </c>
    </row>
    <row r="344" spans="1:30" x14ac:dyDescent="0.3">
      <c r="A344">
        <v>755</v>
      </c>
      <c r="B344">
        <v>755</v>
      </c>
      <c r="C344">
        <v>1</v>
      </c>
      <c r="D344" t="s">
        <v>710</v>
      </c>
      <c r="E344" t="s">
        <v>710</v>
      </c>
      <c r="F344" t="s">
        <v>123</v>
      </c>
      <c r="G344" t="s">
        <v>123</v>
      </c>
      <c r="H344" t="s">
        <v>39</v>
      </c>
      <c r="I344" t="s">
        <v>124</v>
      </c>
      <c r="J344" t="s">
        <v>41</v>
      </c>
      <c r="K344">
        <v>0</v>
      </c>
      <c r="L344">
        <v>0</v>
      </c>
      <c r="M344">
        <v>0</v>
      </c>
      <c r="N344">
        <v>870</v>
      </c>
      <c r="O344">
        <v>871.325658314517</v>
      </c>
      <c r="P344" t="s">
        <v>41</v>
      </c>
      <c r="Q344">
        <v>0</v>
      </c>
      <c r="R344" t="s">
        <v>50</v>
      </c>
      <c r="S344">
        <v>1966</v>
      </c>
      <c r="T344" t="s">
        <v>66</v>
      </c>
      <c r="U344" t="s">
        <v>51</v>
      </c>
      <c r="V344" t="s">
        <v>204</v>
      </c>
      <c r="W344" t="s">
        <v>40</v>
      </c>
      <c r="X344" t="s">
        <v>41</v>
      </c>
      <c r="Y344" t="s">
        <v>41</v>
      </c>
      <c r="Z344" t="s">
        <v>43</v>
      </c>
      <c r="AA344">
        <v>933</v>
      </c>
      <c r="AB344" t="s">
        <v>40</v>
      </c>
      <c r="AC344" t="s">
        <v>87</v>
      </c>
      <c r="AD344" t="s">
        <v>87</v>
      </c>
    </row>
    <row r="345" spans="1:30" x14ac:dyDescent="0.3">
      <c r="A345">
        <v>555622007</v>
      </c>
      <c r="B345">
        <v>555622007</v>
      </c>
      <c r="C345">
        <v>1</v>
      </c>
      <c r="D345" t="s">
        <v>711</v>
      </c>
      <c r="E345" t="s">
        <v>711</v>
      </c>
      <c r="F345" t="s">
        <v>203</v>
      </c>
      <c r="G345" t="s">
        <v>203</v>
      </c>
      <c r="H345" t="s">
        <v>39</v>
      </c>
      <c r="I345" t="s">
        <v>124</v>
      </c>
      <c r="J345" t="s">
        <v>41</v>
      </c>
      <c r="K345">
        <v>0</v>
      </c>
      <c r="L345">
        <v>0</v>
      </c>
      <c r="M345">
        <v>0</v>
      </c>
      <c r="N345">
        <v>2124</v>
      </c>
      <c r="O345">
        <v>2119.9440979103802</v>
      </c>
      <c r="P345" t="s">
        <v>41</v>
      </c>
      <c r="Q345">
        <v>0</v>
      </c>
      <c r="R345" t="s">
        <v>50</v>
      </c>
      <c r="S345">
        <v>2000</v>
      </c>
      <c r="T345" t="s">
        <v>66</v>
      </c>
      <c r="U345" t="s">
        <v>51</v>
      </c>
      <c r="V345" t="s">
        <v>204</v>
      </c>
      <c r="W345" t="s">
        <v>40</v>
      </c>
      <c r="X345" t="s">
        <v>41</v>
      </c>
      <c r="Y345" t="s">
        <v>41</v>
      </c>
      <c r="Z345" t="s">
        <v>43</v>
      </c>
      <c r="AA345">
        <v>933</v>
      </c>
      <c r="AB345" t="s">
        <v>40</v>
      </c>
      <c r="AC345" t="s">
        <v>87</v>
      </c>
      <c r="AD345" t="s">
        <v>87</v>
      </c>
    </row>
    <row r="346" spans="1:30" x14ac:dyDescent="0.3">
      <c r="A346">
        <v>555622010</v>
      </c>
      <c r="B346">
        <v>555622010</v>
      </c>
      <c r="C346">
        <v>1</v>
      </c>
      <c r="D346" t="s">
        <v>712</v>
      </c>
      <c r="E346" t="s">
        <v>712</v>
      </c>
      <c r="F346" t="s">
        <v>203</v>
      </c>
      <c r="G346" t="s">
        <v>203</v>
      </c>
      <c r="H346" t="s">
        <v>39</v>
      </c>
      <c r="I346" t="s">
        <v>40</v>
      </c>
      <c r="J346" t="s">
        <v>41</v>
      </c>
      <c r="K346">
        <v>0</v>
      </c>
      <c r="L346">
        <v>0</v>
      </c>
      <c r="M346">
        <v>0</v>
      </c>
      <c r="N346">
        <v>640.6</v>
      </c>
      <c r="O346">
        <v>641.45871366672304</v>
      </c>
      <c r="P346" t="s">
        <v>41</v>
      </c>
      <c r="Q346">
        <v>0</v>
      </c>
      <c r="R346" t="s">
        <v>50</v>
      </c>
      <c r="S346">
        <v>2000</v>
      </c>
      <c r="T346" t="s">
        <v>66</v>
      </c>
      <c r="U346" t="s">
        <v>51</v>
      </c>
      <c r="V346" t="s">
        <v>204</v>
      </c>
      <c r="W346" t="s">
        <v>40</v>
      </c>
      <c r="X346" t="s">
        <v>41</v>
      </c>
      <c r="Y346" t="s">
        <v>41</v>
      </c>
      <c r="Z346" t="s">
        <v>43</v>
      </c>
      <c r="AA346">
        <v>933</v>
      </c>
      <c r="AB346" t="s">
        <v>40</v>
      </c>
      <c r="AC346" t="s">
        <v>87</v>
      </c>
      <c r="AD346" t="s">
        <v>87</v>
      </c>
    </row>
    <row r="347" spans="1:30" x14ac:dyDescent="0.3">
      <c r="A347">
        <v>2418</v>
      </c>
      <c r="B347">
        <v>2418</v>
      </c>
      <c r="C347">
        <v>1</v>
      </c>
      <c r="D347" t="s">
        <v>713</v>
      </c>
      <c r="E347" t="s">
        <v>713</v>
      </c>
      <c r="F347" t="s">
        <v>203</v>
      </c>
      <c r="G347" t="s">
        <v>203</v>
      </c>
      <c r="H347" t="s">
        <v>39</v>
      </c>
      <c r="I347" t="s">
        <v>49</v>
      </c>
      <c r="J347" t="s">
        <v>41</v>
      </c>
      <c r="K347">
        <v>0</v>
      </c>
      <c r="L347">
        <v>0</v>
      </c>
      <c r="M347">
        <v>0</v>
      </c>
      <c r="N347">
        <v>1270</v>
      </c>
      <c r="O347">
        <v>1270.3896676898701</v>
      </c>
      <c r="P347" t="s">
        <v>41</v>
      </c>
      <c r="Q347">
        <v>0</v>
      </c>
      <c r="R347" t="s">
        <v>50</v>
      </c>
      <c r="S347">
        <v>1976</v>
      </c>
      <c r="T347" t="s">
        <v>66</v>
      </c>
      <c r="U347" t="s">
        <v>51</v>
      </c>
      <c r="V347" t="s">
        <v>204</v>
      </c>
      <c r="W347" t="s">
        <v>40</v>
      </c>
      <c r="X347" t="s">
        <v>41</v>
      </c>
      <c r="Y347" t="s">
        <v>41</v>
      </c>
      <c r="Z347" t="s">
        <v>43</v>
      </c>
      <c r="AA347">
        <v>933</v>
      </c>
      <c r="AB347" t="s">
        <v>40</v>
      </c>
      <c r="AC347" t="s">
        <v>87</v>
      </c>
      <c r="AD347" t="s">
        <v>87</v>
      </c>
    </row>
    <row r="348" spans="1:30" x14ac:dyDescent="0.3">
      <c r="A348">
        <v>19564</v>
      </c>
      <c r="B348">
        <v>19564</v>
      </c>
      <c r="C348">
        <v>1</v>
      </c>
      <c r="D348" t="s">
        <v>714</v>
      </c>
      <c r="E348" t="s">
        <v>714</v>
      </c>
      <c r="F348" t="s">
        <v>123</v>
      </c>
      <c r="G348" t="s">
        <v>123</v>
      </c>
      <c r="H348" t="s">
        <v>39</v>
      </c>
      <c r="I348" t="s">
        <v>124</v>
      </c>
      <c r="J348" t="s">
        <v>41</v>
      </c>
      <c r="K348">
        <v>0</v>
      </c>
      <c r="L348">
        <v>0</v>
      </c>
      <c r="M348">
        <v>0</v>
      </c>
      <c r="N348">
        <v>9065</v>
      </c>
      <c r="O348">
        <v>7024.0775658380398</v>
      </c>
      <c r="P348" t="s">
        <v>41</v>
      </c>
      <c r="Q348">
        <v>0</v>
      </c>
      <c r="R348" t="s">
        <v>50</v>
      </c>
      <c r="S348">
        <v>1948</v>
      </c>
      <c r="T348" t="s">
        <v>66</v>
      </c>
      <c r="U348" t="s">
        <v>51</v>
      </c>
      <c r="V348" t="s">
        <v>204</v>
      </c>
      <c r="W348" t="s">
        <v>40</v>
      </c>
      <c r="X348" t="s">
        <v>41</v>
      </c>
      <c r="Y348" t="s">
        <v>41</v>
      </c>
      <c r="Z348" t="s">
        <v>43</v>
      </c>
      <c r="AA348">
        <v>933</v>
      </c>
      <c r="AB348" t="s">
        <v>40</v>
      </c>
      <c r="AC348" t="s">
        <v>87</v>
      </c>
      <c r="AD348" t="s">
        <v>87</v>
      </c>
    </row>
    <row r="349" spans="1:30" x14ac:dyDescent="0.3">
      <c r="A349">
        <v>752</v>
      </c>
      <c r="B349">
        <v>752</v>
      </c>
      <c r="C349">
        <v>1</v>
      </c>
      <c r="D349" t="s">
        <v>715</v>
      </c>
      <c r="E349" t="s">
        <v>715</v>
      </c>
      <c r="F349" t="s">
        <v>123</v>
      </c>
      <c r="G349" t="s">
        <v>123</v>
      </c>
      <c r="H349" t="s">
        <v>39</v>
      </c>
      <c r="I349" t="s">
        <v>124</v>
      </c>
      <c r="J349" t="s">
        <v>41</v>
      </c>
      <c r="K349">
        <v>0</v>
      </c>
      <c r="L349">
        <v>0</v>
      </c>
      <c r="M349">
        <v>0</v>
      </c>
      <c r="N349">
        <v>11747</v>
      </c>
      <c r="O349">
        <v>13380.5267638106</v>
      </c>
      <c r="P349" t="s">
        <v>41</v>
      </c>
      <c r="Q349">
        <v>0</v>
      </c>
      <c r="R349" t="s">
        <v>50</v>
      </c>
      <c r="S349">
        <v>1948</v>
      </c>
      <c r="T349" t="s">
        <v>66</v>
      </c>
      <c r="U349" t="s">
        <v>51</v>
      </c>
      <c r="V349" t="s">
        <v>204</v>
      </c>
      <c r="W349" t="s">
        <v>40</v>
      </c>
      <c r="X349" t="s">
        <v>41</v>
      </c>
      <c r="Y349" t="s">
        <v>41</v>
      </c>
      <c r="Z349" t="s">
        <v>43</v>
      </c>
      <c r="AA349">
        <v>933</v>
      </c>
      <c r="AB349" t="s">
        <v>40</v>
      </c>
      <c r="AC349" t="s">
        <v>87</v>
      </c>
      <c r="AD349" t="s">
        <v>87</v>
      </c>
    </row>
    <row r="350" spans="1:30" x14ac:dyDescent="0.3">
      <c r="A350">
        <v>2595</v>
      </c>
      <c r="B350">
        <v>2595</v>
      </c>
      <c r="C350">
        <v>1</v>
      </c>
      <c r="D350" t="s">
        <v>716</v>
      </c>
      <c r="E350" t="s">
        <v>716</v>
      </c>
      <c r="F350" t="s">
        <v>203</v>
      </c>
      <c r="G350" t="s">
        <v>203</v>
      </c>
      <c r="H350" t="s">
        <v>39</v>
      </c>
      <c r="I350" t="s">
        <v>49</v>
      </c>
      <c r="J350" t="s">
        <v>41</v>
      </c>
      <c r="K350">
        <v>0</v>
      </c>
      <c r="L350">
        <v>0</v>
      </c>
      <c r="M350">
        <v>0</v>
      </c>
      <c r="N350">
        <v>212</v>
      </c>
      <c r="O350">
        <v>215.90025655473201</v>
      </c>
      <c r="P350" t="s">
        <v>41</v>
      </c>
      <c r="Q350">
        <v>0</v>
      </c>
      <c r="R350" t="s">
        <v>50</v>
      </c>
      <c r="S350">
        <v>1976</v>
      </c>
      <c r="T350" t="s">
        <v>66</v>
      </c>
      <c r="U350" t="s">
        <v>51</v>
      </c>
      <c r="V350" t="s">
        <v>204</v>
      </c>
      <c r="W350" t="s">
        <v>40</v>
      </c>
      <c r="X350" t="s">
        <v>41</v>
      </c>
      <c r="Y350" t="s">
        <v>41</v>
      </c>
      <c r="Z350" t="s">
        <v>43</v>
      </c>
      <c r="AA350">
        <v>933</v>
      </c>
      <c r="AB350" t="s">
        <v>40</v>
      </c>
      <c r="AC350" t="s">
        <v>87</v>
      </c>
      <c r="AD350" t="s">
        <v>87</v>
      </c>
    </row>
    <row r="351" spans="1:30" x14ac:dyDescent="0.3">
      <c r="A351">
        <v>555646868</v>
      </c>
      <c r="B351">
        <v>555646868</v>
      </c>
      <c r="C351">
        <v>1</v>
      </c>
      <c r="D351" t="s">
        <v>717</v>
      </c>
      <c r="E351" t="s">
        <v>717</v>
      </c>
      <c r="F351" t="s">
        <v>203</v>
      </c>
      <c r="G351" t="s">
        <v>203</v>
      </c>
      <c r="H351" t="s">
        <v>39</v>
      </c>
      <c r="I351" t="s">
        <v>40</v>
      </c>
      <c r="J351" t="s">
        <v>41</v>
      </c>
      <c r="K351">
        <v>0</v>
      </c>
      <c r="L351">
        <v>0</v>
      </c>
      <c r="M351">
        <v>0</v>
      </c>
      <c r="N351">
        <v>5.27</v>
      </c>
      <c r="O351">
        <v>23.370024409159701</v>
      </c>
      <c r="P351" t="s">
        <v>41</v>
      </c>
      <c r="Q351">
        <v>0</v>
      </c>
      <c r="R351" t="s">
        <v>50</v>
      </c>
      <c r="S351">
        <v>1943</v>
      </c>
      <c r="T351" t="s">
        <v>66</v>
      </c>
      <c r="U351" t="s">
        <v>51</v>
      </c>
      <c r="V351" t="s">
        <v>204</v>
      </c>
      <c r="W351" t="s">
        <v>40</v>
      </c>
      <c r="X351" t="s">
        <v>41</v>
      </c>
      <c r="Y351" t="s">
        <v>41</v>
      </c>
      <c r="Z351" t="s">
        <v>43</v>
      </c>
      <c r="AA351">
        <v>933</v>
      </c>
      <c r="AB351" t="s">
        <v>40</v>
      </c>
      <c r="AC351" t="s">
        <v>87</v>
      </c>
      <c r="AD351" t="s">
        <v>87</v>
      </c>
    </row>
    <row r="352" spans="1:30" x14ac:dyDescent="0.3">
      <c r="A352">
        <v>26505</v>
      </c>
      <c r="B352">
        <v>26505</v>
      </c>
      <c r="C352">
        <v>1</v>
      </c>
      <c r="D352" t="s">
        <v>718</v>
      </c>
      <c r="E352" t="s">
        <v>718</v>
      </c>
      <c r="F352" t="s">
        <v>102</v>
      </c>
      <c r="G352" t="s">
        <v>102</v>
      </c>
      <c r="H352" t="s">
        <v>39</v>
      </c>
      <c r="I352" t="s">
        <v>74</v>
      </c>
      <c r="J352" t="s">
        <v>41</v>
      </c>
      <c r="K352">
        <v>0</v>
      </c>
      <c r="L352">
        <v>0</v>
      </c>
      <c r="M352">
        <v>0</v>
      </c>
      <c r="N352">
        <v>67.327854369999898</v>
      </c>
      <c r="O352">
        <v>67.122615698040505</v>
      </c>
      <c r="P352" t="s">
        <v>41</v>
      </c>
      <c r="Q352">
        <v>0</v>
      </c>
      <c r="R352" t="s">
        <v>50</v>
      </c>
      <c r="S352">
        <v>1954</v>
      </c>
      <c r="T352" t="s">
        <v>66</v>
      </c>
      <c r="U352" t="s">
        <v>211</v>
      </c>
      <c r="V352" t="s">
        <v>212</v>
      </c>
      <c r="W352" t="s">
        <v>213</v>
      </c>
      <c r="X352" t="s">
        <v>41</v>
      </c>
      <c r="Y352" t="s">
        <v>41</v>
      </c>
      <c r="Z352" t="s">
        <v>43</v>
      </c>
      <c r="AA352">
        <v>1972</v>
      </c>
      <c r="AB352" t="s">
        <v>719</v>
      </c>
      <c r="AC352" t="s">
        <v>215</v>
      </c>
      <c r="AD352" t="s">
        <v>215</v>
      </c>
    </row>
    <row r="353" spans="1:30" x14ac:dyDescent="0.3">
      <c r="A353">
        <v>40892</v>
      </c>
      <c r="B353">
        <v>40892</v>
      </c>
      <c r="C353">
        <v>1</v>
      </c>
      <c r="D353" t="s">
        <v>720</v>
      </c>
      <c r="E353" t="s">
        <v>720</v>
      </c>
      <c r="F353" t="s">
        <v>102</v>
      </c>
      <c r="G353" t="s">
        <v>102</v>
      </c>
      <c r="H353" t="s">
        <v>39</v>
      </c>
      <c r="I353" t="s">
        <v>218</v>
      </c>
      <c r="J353" t="s">
        <v>41</v>
      </c>
      <c r="K353">
        <v>0</v>
      </c>
      <c r="L353">
        <v>0</v>
      </c>
      <c r="M353">
        <v>0</v>
      </c>
      <c r="N353">
        <v>29.578081619999899</v>
      </c>
      <c r="O353">
        <v>29.520977899870999</v>
      </c>
      <c r="P353" t="s">
        <v>41</v>
      </c>
      <c r="Q353">
        <v>0</v>
      </c>
      <c r="R353" t="s">
        <v>42</v>
      </c>
      <c r="S353">
        <v>0</v>
      </c>
      <c r="T353" t="s">
        <v>66</v>
      </c>
      <c r="U353" t="s">
        <v>211</v>
      </c>
      <c r="V353" t="s">
        <v>212</v>
      </c>
      <c r="W353" t="s">
        <v>213</v>
      </c>
      <c r="X353" t="s">
        <v>41</v>
      </c>
      <c r="Y353" t="s">
        <v>41</v>
      </c>
      <c r="Z353" t="s">
        <v>43</v>
      </c>
      <c r="AA353">
        <v>1972</v>
      </c>
      <c r="AB353" t="s">
        <v>721</v>
      </c>
      <c r="AC353" t="s">
        <v>215</v>
      </c>
      <c r="AD353" t="s">
        <v>215</v>
      </c>
    </row>
    <row r="354" spans="1:30" x14ac:dyDescent="0.3">
      <c r="A354">
        <v>301379</v>
      </c>
      <c r="B354">
        <v>301379</v>
      </c>
      <c r="C354">
        <v>1</v>
      </c>
      <c r="D354" t="s">
        <v>722</v>
      </c>
      <c r="E354" t="s">
        <v>722</v>
      </c>
      <c r="F354" t="s">
        <v>102</v>
      </c>
      <c r="G354" t="s">
        <v>102</v>
      </c>
      <c r="H354" t="s">
        <v>39</v>
      </c>
      <c r="I354" t="s">
        <v>40</v>
      </c>
      <c r="J354" t="s">
        <v>41</v>
      </c>
      <c r="K354">
        <v>0</v>
      </c>
      <c r="L354">
        <v>0</v>
      </c>
      <c r="M354">
        <v>0</v>
      </c>
      <c r="N354">
        <v>1206.9449999999899</v>
      </c>
      <c r="O354">
        <v>1198.88802801665</v>
      </c>
      <c r="P354" t="s">
        <v>41</v>
      </c>
      <c r="Q354">
        <v>0</v>
      </c>
      <c r="R354" t="s">
        <v>50</v>
      </c>
      <c r="S354">
        <v>1957</v>
      </c>
      <c r="T354" t="s">
        <v>66</v>
      </c>
      <c r="U354" t="s">
        <v>40</v>
      </c>
      <c r="V354" t="s">
        <v>723</v>
      </c>
      <c r="W354" t="s">
        <v>40</v>
      </c>
      <c r="X354" t="s">
        <v>41</v>
      </c>
      <c r="Y354" t="s">
        <v>41</v>
      </c>
      <c r="Z354" t="s">
        <v>43</v>
      </c>
      <c r="AA354">
        <v>1747</v>
      </c>
      <c r="AB354" t="s">
        <v>40</v>
      </c>
      <c r="AC354" t="s">
        <v>617</v>
      </c>
      <c r="AD354" t="s">
        <v>617</v>
      </c>
    </row>
    <row r="355" spans="1:30" x14ac:dyDescent="0.3">
      <c r="A355">
        <v>37155</v>
      </c>
      <c r="B355">
        <v>37155</v>
      </c>
      <c r="C355">
        <v>1</v>
      </c>
      <c r="D355" t="s">
        <v>724</v>
      </c>
      <c r="E355" t="s">
        <v>724</v>
      </c>
      <c r="F355" t="s">
        <v>102</v>
      </c>
      <c r="G355" t="s">
        <v>102</v>
      </c>
      <c r="H355" t="s">
        <v>39</v>
      </c>
      <c r="I355" t="s">
        <v>40</v>
      </c>
      <c r="J355" t="s">
        <v>41</v>
      </c>
      <c r="K355">
        <v>0</v>
      </c>
      <c r="L355">
        <v>0</v>
      </c>
      <c r="M355">
        <v>0</v>
      </c>
      <c r="N355">
        <v>38</v>
      </c>
      <c r="O355">
        <v>38.740277025349002</v>
      </c>
      <c r="P355" t="s">
        <v>41</v>
      </c>
      <c r="Q355">
        <v>0</v>
      </c>
      <c r="R355" t="s">
        <v>50</v>
      </c>
      <c r="S355">
        <v>1952</v>
      </c>
      <c r="T355" t="s">
        <v>66</v>
      </c>
      <c r="U355" t="s">
        <v>40</v>
      </c>
      <c r="V355" t="s">
        <v>230</v>
      </c>
      <c r="W355" t="s">
        <v>68</v>
      </c>
      <c r="X355" t="s">
        <v>41</v>
      </c>
      <c r="Y355" t="s">
        <v>41</v>
      </c>
      <c r="Z355" t="s">
        <v>43</v>
      </c>
      <c r="AA355">
        <v>1973</v>
      </c>
      <c r="AB355" t="s">
        <v>725</v>
      </c>
      <c r="AC355" t="s">
        <v>226</v>
      </c>
      <c r="AD355" t="s">
        <v>226</v>
      </c>
    </row>
    <row r="356" spans="1:30" x14ac:dyDescent="0.3">
      <c r="A356">
        <v>37122</v>
      </c>
      <c r="B356">
        <v>37122</v>
      </c>
      <c r="C356">
        <v>1</v>
      </c>
      <c r="D356" t="s">
        <v>726</v>
      </c>
      <c r="E356" t="s">
        <v>726</v>
      </c>
      <c r="F356" t="s">
        <v>102</v>
      </c>
      <c r="G356" t="s">
        <v>102</v>
      </c>
      <c r="H356" t="s">
        <v>39</v>
      </c>
      <c r="I356" t="s">
        <v>40</v>
      </c>
      <c r="J356" t="s">
        <v>41</v>
      </c>
      <c r="K356">
        <v>0</v>
      </c>
      <c r="L356">
        <v>0</v>
      </c>
      <c r="M356">
        <v>0</v>
      </c>
      <c r="N356">
        <v>85.799999999999898</v>
      </c>
      <c r="O356">
        <v>91.088665003113704</v>
      </c>
      <c r="P356" t="s">
        <v>41</v>
      </c>
      <c r="Q356">
        <v>0</v>
      </c>
      <c r="R356" t="s">
        <v>50</v>
      </c>
      <c r="S356">
        <v>1952</v>
      </c>
      <c r="T356" t="s">
        <v>66</v>
      </c>
      <c r="U356" t="s">
        <v>40</v>
      </c>
      <c r="V356" t="s">
        <v>230</v>
      </c>
      <c r="W356" t="s">
        <v>68</v>
      </c>
      <c r="X356" t="s">
        <v>41</v>
      </c>
      <c r="Y356" t="s">
        <v>41</v>
      </c>
      <c r="Z356" t="s">
        <v>43</v>
      </c>
      <c r="AA356">
        <v>1973</v>
      </c>
      <c r="AB356" t="s">
        <v>727</v>
      </c>
      <c r="AC356" t="s">
        <v>226</v>
      </c>
      <c r="AD356" t="s">
        <v>226</v>
      </c>
    </row>
    <row r="357" spans="1:30" x14ac:dyDescent="0.3">
      <c r="A357">
        <v>300877</v>
      </c>
      <c r="B357">
        <v>300877</v>
      </c>
      <c r="C357">
        <v>1</v>
      </c>
      <c r="D357" t="s">
        <v>728</v>
      </c>
      <c r="E357" t="s">
        <v>728</v>
      </c>
      <c r="F357" t="s">
        <v>102</v>
      </c>
      <c r="G357" t="s">
        <v>102</v>
      </c>
      <c r="H357" t="s">
        <v>39</v>
      </c>
      <c r="I357" t="s">
        <v>40</v>
      </c>
      <c r="J357" t="s">
        <v>41</v>
      </c>
      <c r="K357">
        <v>0</v>
      </c>
      <c r="L357">
        <v>0</v>
      </c>
      <c r="M357">
        <v>0</v>
      </c>
      <c r="N357">
        <v>12.4</v>
      </c>
      <c r="O357">
        <v>12.562509429467701</v>
      </c>
      <c r="P357" t="s">
        <v>41</v>
      </c>
      <c r="Q357">
        <v>0</v>
      </c>
      <c r="R357" t="s">
        <v>50</v>
      </c>
      <c r="S357">
        <v>2005</v>
      </c>
      <c r="T357" t="s">
        <v>66</v>
      </c>
      <c r="U357" t="s">
        <v>40</v>
      </c>
      <c r="V357" t="s">
        <v>230</v>
      </c>
      <c r="W357" t="s">
        <v>68</v>
      </c>
      <c r="X357" t="s">
        <v>41</v>
      </c>
      <c r="Y357" t="s">
        <v>41</v>
      </c>
      <c r="Z357" t="s">
        <v>43</v>
      </c>
      <c r="AA357">
        <v>1973</v>
      </c>
      <c r="AB357" t="s">
        <v>727</v>
      </c>
      <c r="AC357" t="s">
        <v>226</v>
      </c>
      <c r="AD357" t="s">
        <v>226</v>
      </c>
    </row>
    <row r="358" spans="1:30" x14ac:dyDescent="0.3">
      <c r="A358">
        <v>37130</v>
      </c>
      <c r="B358">
        <v>37130</v>
      </c>
      <c r="C358">
        <v>1</v>
      </c>
      <c r="D358" t="s">
        <v>729</v>
      </c>
      <c r="E358" t="s">
        <v>729</v>
      </c>
      <c r="F358" t="s">
        <v>102</v>
      </c>
      <c r="G358" t="s">
        <v>102</v>
      </c>
      <c r="H358" t="s">
        <v>39</v>
      </c>
      <c r="I358" t="s">
        <v>40</v>
      </c>
      <c r="J358" t="s">
        <v>41</v>
      </c>
      <c r="K358">
        <v>0</v>
      </c>
      <c r="L358">
        <v>0</v>
      </c>
      <c r="M358">
        <v>0</v>
      </c>
      <c r="N358">
        <v>5.82</v>
      </c>
      <c r="O358">
        <v>5.2032817166011398</v>
      </c>
      <c r="P358" t="s">
        <v>41</v>
      </c>
      <c r="Q358">
        <v>0</v>
      </c>
      <c r="R358" t="s">
        <v>50</v>
      </c>
      <c r="S358">
        <v>1939</v>
      </c>
      <c r="T358" t="s">
        <v>66</v>
      </c>
      <c r="U358" t="s">
        <v>40</v>
      </c>
      <c r="V358" t="s">
        <v>230</v>
      </c>
      <c r="W358" t="s">
        <v>68</v>
      </c>
      <c r="X358" t="s">
        <v>41</v>
      </c>
      <c r="Y358" t="s">
        <v>41</v>
      </c>
      <c r="Z358" t="s">
        <v>43</v>
      </c>
      <c r="AA358">
        <v>1973</v>
      </c>
      <c r="AB358" t="s">
        <v>727</v>
      </c>
      <c r="AC358" t="s">
        <v>226</v>
      </c>
      <c r="AD358" t="s">
        <v>226</v>
      </c>
    </row>
    <row r="359" spans="1:30" x14ac:dyDescent="0.3">
      <c r="A359">
        <v>37120</v>
      </c>
      <c r="B359">
        <v>37120</v>
      </c>
      <c r="C359">
        <v>1</v>
      </c>
      <c r="D359" t="s">
        <v>730</v>
      </c>
      <c r="E359" t="s">
        <v>730</v>
      </c>
      <c r="F359" t="s">
        <v>102</v>
      </c>
      <c r="G359" t="s">
        <v>102</v>
      </c>
      <c r="H359" t="s">
        <v>39</v>
      </c>
      <c r="I359" t="s">
        <v>40</v>
      </c>
      <c r="J359" t="s">
        <v>41</v>
      </c>
      <c r="K359">
        <v>0</v>
      </c>
      <c r="L359">
        <v>0</v>
      </c>
      <c r="M359">
        <v>0</v>
      </c>
      <c r="N359">
        <v>0.13</v>
      </c>
      <c r="O359">
        <v>238.14938149096</v>
      </c>
      <c r="P359" t="s">
        <v>41</v>
      </c>
      <c r="Q359">
        <v>0</v>
      </c>
      <c r="R359" t="s">
        <v>50</v>
      </c>
      <c r="S359">
        <v>1955</v>
      </c>
      <c r="T359" t="s">
        <v>66</v>
      </c>
      <c r="U359" t="s">
        <v>40</v>
      </c>
      <c r="V359" t="s">
        <v>40</v>
      </c>
      <c r="W359" t="s">
        <v>68</v>
      </c>
      <c r="X359" t="s">
        <v>41</v>
      </c>
      <c r="Y359" t="s">
        <v>41</v>
      </c>
      <c r="Z359" t="s">
        <v>43</v>
      </c>
      <c r="AA359">
        <v>1973</v>
      </c>
      <c r="AB359" t="s">
        <v>727</v>
      </c>
      <c r="AC359" t="s">
        <v>226</v>
      </c>
      <c r="AD359" t="s">
        <v>226</v>
      </c>
    </row>
    <row r="360" spans="1:30" x14ac:dyDescent="0.3">
      <c r="A360">
        <v>37119</v>
      </c>
      <c r="B360">
        <v>37119</v>
      </c>
      <c r="C360">
        <v>1</v>
      </c>
      <c r="D360" t="s">
        <v>731</v>
      </c>
      <c r="E360" t="s">
        <v>731</v>
      </c>
      <c r="F360" t="s">
        <v>102</v>
      </c>
      <c r="G360" t="s">
        <v>102</v>
      </c>
      <c r="H360" t="s">
        <v>39</v>
      </c>
      <c r="I360" t="s">
        <v>40</v>
      </c>
      <c r="J360" t="s">
        <v>41</v>
      </c>
      <c r="K360">
        <v>0</v>
      </c>
      <c r="L360">
        <v>0</v>
      </c>
      <c r="M360">
        <v>0</v>
      </c>
      <c r="N360">
        <v>2.61</v>
      </c>
      <c r="O360">
        <v>3.6514534769117302</v>
      </c>
      <c r="P360" t="s">
        <v>41</v>
      </c>
      <c r="Q360">
        <v>0</v>
      </c>
      <c r="R360" t="s">
        <v>50</v>
      </c>
      <c r="S360">
        <v>1939</v>
      </c>
      <c r="T360" t="s">
        <v>66</v>
      </c>
      <c r="U360" t="s">
        <v>40</v>
      </c>
      <c r="V360" t="s">
        <v>230</v>
      </c>
      <c r="W360" t="s">
        <v>68</v>
      </c>
      <c r="X360" t="s">
        <v>41</v>
      </c>
      <c r="Y360" t="s">
        <v>41</v>
      </c>
      <c r="Z360" t="s">
        <v>43</v>
      </c>
      <c r="AA360">
        <v>1973</v>
      </c>
      <c r="AB360" t="s">
        <v>727</v>
      </c>
      <c r="AC360" t="s">
        <v>226</v>
      </c>
      <c r="AD360" t="s">
        <v>226</v>
      </c>
    </row>
    <row r="361" spans="1:30" x14ac:dyDescent="0.3">
      <c r="A361">
        <v>37148</v>
      </c>
      <c r="B361">
        <v>37148</v>
      </c>
      <c r="C361">
        <v>1</v>
      </c>
      <c r="D361" t="s">
        <v>732</v>
      </c>
      <c r="E361" t="s">
        <v>732</v>
      </c>
      <c r="F361" t="s">
        <v>102</v>
      </c>
      <c r="G361" t="s">
        <v>102</v>
      </c>
      <c r="H361" t="s">
        <v>39</v>
      </c>
      <c r="I361" t="s">
        <v>40</v>
      </c>
      <c r="J361" t="s">
        <v>41</v>
      </c>
      <c r="K361">
        <v>0</v>
      </c>
      <c r="L361">
        <v>0</v>
      </c>
      <c r="M361">
        <v>0</v>
      </c>
      <c r="N361">
        <v>1</v>
      </c>
      <c r="O361">
        <v>24.851606801127499</v>
      </c>
      <c r="P361" t="s">
        <v>41</v>
      </c>
      <c r="Q361">
        <v>0</v>
      </c>
      <c r="R361" t="s">
        <v>50</v>
      </c>
      <c r="S361">
        <v>1954</v>
      </c>
      <c r="T361" t="s">
        <v>66</v>
      </c>
      <c r="U361" t="s">
        <v>40</v>
      </c>
      <c r="V361" t="s">
        <v>230</v>
      </c>
      <c r="W361" t="s">
        <v>68</v>
      </c>
      <c r="X361" t="s">
        <v>41</v>
      </c>
      <c r="Y361" t="s">
        <v>41</v>
      </c>
      <c r="Z361" t="s">
        <v>43</v>
      </c>
      <c r="AA361">
        <v>1973</v>
      </c>
      <c r="AB361" t="s">
        <v>725</v>
      </c>
      <c r="AC361" t="s">
        <v>226</v>
      </c>
      <c r="AD361" t="s">
        <v>226</v>
      </c>
    </row>
    <row r="362" spans="1:30" x14ac:dyDescent="0.3">
      <c r="A362">
        <v>555703402</v>
      </c>
      <c r="B362">
        <v>555703402</v>
      </c>
      <c r="C362">
        <v>1</v>
      </c>
      <c r="D362" t="s">
        <v>733</v>
      </c>
      <c r="E362" t="s">
        <v>733</v>
      </c>
      <c r="F362" t="s">
        <v>228</v>
      </c>
      <c r="G362" t="s">
        <v>229</v>
      </c>
      <c r="H362" t="s">
        <v>39</v>
      </c>
      <c r="I362" t="s">
        <v>74</v>
      </c>
      <c r="J362" t="s">
        <v>41</v>
      </c>
      <c r="K362">
        <v>0</v>
      </c>
      <c r="L362">
        <v>0</v>
      </c>
      <c r="M362">
        <v>0</v>
      </c>
      <c r="N362">
        <v>1.58</v>
      </c>
      <c r="O362">
        <v>9.8229346347863604</v>
      </c>
      <c r="P362" t="s">
        <v>41</v>
      </c>
      <c r="Q362">
        <v>0</v>
      </c>
      <c r="R362" t="s">
        <v>50</v>
      </c>
      <c r="S362">
        <v>2005</v>
      </c>
      <c r="T362" t="s">
        <v>66</v>
      </c>
      <c r="U362" t="s">
        <v>40</v>
      </c>
      <c r="V362" t="s">
        <v>230</v>
      </c>
      <c r="W362" t="s">
        <v>68</v>
      </c>
      <c r="X362" t="s">
        <v>41</v>
      </c>
      <c r="Y362" t="s">
        <v>41</v>
      </c>
      <c r="Z362" t="s">
        <v>43</v>
      </c>
      <c r="AA362">
        <v>1973</v>
      </c>
      <c r="AB362" t="s">
        <v>725</v>
      </c>
      <c r="AC362" t="s">
        <v>226</v>
      </c>
      <c r="AD362" t="s">
        <v>226</v>
      </c>
    </row>
    <row r="363" spans="1:30" x14ac:dyDescent="0.3">
      <c r="A363">
        <v>300913</v>
      </c>
      <c r="B363">
        <v>300913</v>
      </c>
      <c r="C363">
        <v>1</v>
      </c>
      <c r="D363" t="s">
        <v>734</v>
      </c>
      <c r="E363" t="s">
        <v>734</v>
      </c>
      <c r="F363" t="s">
        <v>102</v>
      </c>
      <c r="G363" t="s">
        <v>102</v>
      </c>
      <c r="H363" t="s">
        <v>39</v>
      </c>
      <c r="I363" t="s">
        <v>40</v>
      </c>
      <c r="J363" t="s">
        <v>41</v>
      </c>
      <c r="K363">
        <v>0</v>
      </c>
      <c r="L363">
        <v>0</v>
      </c>
      <c r="M363">
        <v>0</v>
      </c>
      <c r="N363">
        <v>0</v>
      </c>
      <c r="O363">
        <v>14.7932829025525</v>
      </c>
      <c r="P363" t="s">
        <v>41</v>
      </c>
      <c r="Q363">
        <v>0</v>
      </c>
      <c r="R363" t="s">
        <v>50</v>
      </c>
      <c r="S363">
        <v>2005</v>
      </c>
      <c r="T363" t="s">
        <v>66</v>
      </c>
      <c r="U363" t="s">
        <v>40</v>
      </c>
      <c r="V363" t="s">
        <v>230</v>
      </c>
      <c r="W363" t="s">
        <v>68</v>
      </c>
      <c r="X363" t="s">
        <v>41</v>
      </c>
      <c r="Y363" t="s">
        <v>41</v>
      </c>
      <c r="Z363" t="s">
        <v>43</v>
      </c>
      <c r="AA363">
        <v>1973</v>
      </c>
      <c r="AB363" t="s">
        <v>725</v>
      </c>
      <c r="AC363" t="s">
        <v>226</v>
      </c>
      <c r="AD363" t="s">
        <v>226</v>
      </c>
    </row>
    <row r="364" spans="1:30" x14ac:dyDescent="0.3">
      <c r="A364">
        <v>555703681</v>
      </c>
      <c r="B364">
        <v>555703681</v>
      </c>
      <c r="C364">
        <v>1</v>
      </c>
      <c r="D364" t="s">
        <v>735</v>
      </c>
      <c r="E364" t="s">
        <v>736</v>
      </c>
      <c r="F364" t="s">
        <v>737</v>
      </c>
      <c r="G364" t="s">
        <v>738</v>
      </c>
      <c r="H364" t="s">
        <v>39</v>
      </c>
      <c r="I364" t="s">
        <v>40</v>
      </c>
      <c r="J364" t="s">
        <v>41</v>
      </c>
      <c r="K364">
        <v>0</v>
      </c>
      <c r="L364">
        <v>0</v>
      </c>
      <c r="M364">
        <v>0</v>
      </c>
      <c r="N364">
        <v>550</v>
      </c>
      <c r="O364">
        <v>653.24099513491603</v>
      </c>
      <c r="P364" t="s">
        <v>41</v>
      </c>
      <c r="Q364">
        <v>0</v>
      </c>
      <c r="R364" t="s">
        <v>50</v>
      </c>
      <c r="S364">
        <v>0</v>
      </c>
      <c r="T364" t="s">
        <v>40</v>
      </c>
      <c r="U364" t="s">
        <v>40</v>
      </c>
      <c r="V364" t="s">
        <v>40</v>
      </c>
      <c r="W364" t="s">
        <v>40</v>
      </c>
      <c r="X364" t="s">
        <v>41</v>
      </c>
      <c r="Y364" t="s">
        <v>41</v>
      </c>
      <c r="Z364" t="s">
        <v>43</v>
      </c>
      <c r="AA364">
        <v>682</v>
      </c>
      <c r="AB364" t="s">
        <v>739</v>
      </c>
      <c r="AC364" t="s">
        <v>740</v>
      </c>
      <c r="AD364" t="s">
        <v>740</v>
      </c>
    </row>
    <row r="365" spans="1:30" x14ac:dyDescent="0.3">
      <c r="A365">
        <v>39934</v>
      </c>
      <c r="B365">
        <v>39934</v>
      </c>
      <c r="C365">
        <v>1</v>
      </c>
      <c r="D365" t="s">
        <v>741</v>
      </c>
      <c r="E365" t="s">
        <v>741</v>
      </c>
      <c r="F365" t="s">
        <v>102</v>
      </c>
      <c r="G365" t="s">
        <v>102</v>
      </c>
      <c r="H365" t="s">
        <v>39</v>
      </c>
      <c r="I365" t="s">
        <v>40</v>
      </c>
      <c r="J365" t="s">
        <v>41</v>
      </c>
      <c r="K365">
        <v>0</v>
      </c>
      <c r="L365">
        <v>0</v>
      </c>
      <c r="M365">
        <v>0</v>
      </c>
      <c r="N365">
        <v>25.253599999999899</v>
      </c>
      <c r="O365">
        <v>5.9181260978661996</v>
      </c>
      <c r="P365" t="s">
        <v>41</v>
      </c>
      <c r="Q365">
        <v>0</v>
      </c>
      <c r="R365" t="s">
        <v>50</v>
      </c>
      <c r="S365">
        <v>1953</v>
      </c>
      <c r="T365" t="s">
        <v>66</v>
      </c>
      <c r="U365" t="s">
        <v>40</v>
      </c>
      <c r="V365" t="s">
        <v>723</v>
      </c>
      <c r="W365" t="s">
        <v>40</v>
      </c>
      <c r="X365" t="s">
        <v>41</v>
      </c>
      <c r="Y365" t="s">
        <v>41</v>
      </c>
      <c r="Z365" t="s">
        <v>43</v>
      </c>
      <c r="AA365">
        <v>1747</v>
      </c>
      <c r="AB365" t="s">
        <v>40</v>
      </c>
      <c r="AC365" t="s">
        <v>617</v>
      </c>
      <c r="AD365" t="s">
        <v>617</v>
      </c>
    </row>
    <row r="366" spans="1:30" x14ac:dyDescent="0.3">
      <c r="A366">
        <v>301446</v>
      </c>
      <c r="B366">
        <v>301446</v>
      </c>
      <c r="C366">
        <v>1</v>
      </c>
      <c r="D366" t="s">
        <v>742</v>
      </c>
      <c r="E366" t="s">
        <v>742</v>
      </c>
      <c r="F366" t="s">
        <v>102</v>
      </c>
      <c r="G366" t="s">
        <v>102</v>
      </c>
      <c r="H366" t="s">
        <v>39</v>
      </c>
      <c r="I366" t="s">
        <v>40</v>
      </c>
      <c r="J366" t="s">
        <v>41</v>
      </c>
      <c r="K366">
        <v>0</v>
      </c>
      <c r="L366">
        <v>0</v>
      </c>
      <c r="M366">
        <v>0</v>
      </c>
      <c r="N366">
        <v>31.227599999999899</v>
      </c>
      <c r="O366">
        <v>31.024633563114801</v>
      </c>
      <c r="P366" t="s">
        <v>41</v>
      </c>
      <c r="Q366">
        <v>0</v>
      </c>
      <c r="R366" t="s">
        <v>50</v>
      </c>
      <c r="S366">
        <v>1954</v>
      </c>
      <c r="T366" t="s">
        <v>66</v>
      </c>
      <c r="U366" t="s">
        <v>40</v>
      </c>
      <c r="V366" t="s">
        <v>723</v>
      </c>
      <c r="W366" t="s">
        <v>40</v>
      </c>
      <c r="X366" t="s">
        <v>41</v>
      </c>
      <c r="Y366" t="s">
        <v>41</v>
      </c>
      <c r="Z366" t="s">
        <v>43</v>
      </c>
      <c r="AA366">
        <v>1747</v>
      </c>
      <c r="AB366" t="s">
        <v>40</v>
      </c>
      <c r="AC366" t="s">
        <v>617</v>
      </c>
      <c r="AD366" t="s">
        <v>617</v>
      </c>
    </row>
    <row r="367" spans="1:30" x14ac:dyDescent="0.3">
      <c r="A367">
        <v>301497</v>
      </c>
      <c r="B367">
        <v>301497</v>
      </c>
      <c r="C367">
        <v>1</v>
      </c>
      <c r="D367" t="s">
        <v>743</v>
      </c>
      <c r="E367" t="s">
        <v>743</v>
      </c>
      <c r="F367" t="s">
        <v>102</v>
      </c>
      <c r="G367" t="s">
        <v>102</v>
      </c>
      <c r="H367" t="s">
        <v>39</v>
      </c>
      <c r="I367" t="s">
        <v>40</v>
      </c>
      <c r="J367" t="s">
        <v>41</v>
      </c>
      <c r="K367">
        <v>0</v>
      </c>
      <c r="L367">
        <v>0</v>
      </c>
      <c r="M367">
        <v>0</v>
      </c>
      <c r="N367">
        <v>419.01609999999903</v>
      </c>
      <c r="O367">
        <v>416.25227508770701</v>
      </c>
      <c r="P367" t="s">
        <v>41</v>
      </c>
      <c r="Q367">
        <v>0</v>
      </c>
      <c r="R367" t="s">
        <v>50</v>
      </c>
      <c r="S367">
        <v>1963</v>
      </c>
      <c r="T367" t="s">
        <v>66</v>
      </c>
      <c r="U367" t="s">
        <v>40</v>
      </c>
      <c r="V367" t="s">
        <v>744</v>
      </c>
      <c r="W367" t="s">
        <v>40</v>
      </c>
      <c r="X367" t="s">
        <v>41</v>
      </c>
      <c r="Y367" t="s">
        <v>41</v>
      </c>
      <c r="Z367" t="s">
        <v>43</v>
      </c>
      <c r="AA367">
        <v>1747</v>
      </c>
      <c r="AB367" t="s">
        <v>40</v>
      </c>
      <c r="AC367" t="s">
        <v>617</v>
      </c>
      <c r="AD367" t="s">
        <v>617</v>
      </c>
    </row>
    <row r="368" spans="1:30" x14ac:dyDescent="0.3">
      <c r="A368">
        <v>301485</v>
      </c>
      <c r="B368">
        <v>301485</v>
      </c>
      <c r="C368">
        <v>1</v>
      </c>
      <c r="D368" t="s">
        <v>745</v>
      </c>
      <c r="E368" t="s">
        <v>745</v>
      </c>
      <c r="F368" t="s">
        <v>102</v>
      </c>
      <c r="G368" t="s">
        <v>102</v>
      </c>
      <c r="H368" t="s">
        <v>39</v>
      </c>
      <c r="I368" t="s">
        <v>40</v>
      </c>
      <c r="J368" t="s">
        <v>41</v>
      </c>
      <c r="K368">
        <v>0</v>
      </c>
      <c r="L368">
        <v>0</v>
      </c>
      <c r="M368">
        <v>0</v>
      </c>
      <c r="N368">
        <v>374.44369999999901</v>
      </c>
      <c r="O368">
        <v>371.97627764004301</v>
      </c>
      <c r="P368" t="s">
        <v>41</v>
      </c>
      <c r="Q368">
        <v>0</v>
      </c>
      <c r="R368" t="s">
        <v>50</v>
      </c>
      <c r="S368">
        <v>1954</v>
      </c>
      <c r="T368" t="s">
        <v>66</v>
      </c>
      <c r="U368" t="s">
        <v>40</v>
      </c>
      <c r="V368" t="s">
        <v>744</v>
      </c>
      <c r="W368" t="s">
        <v>40</v>
      </c>
      <c r="X368" t="s">
        <v>41</v>
      </c>
      <c r="Y368" t="s">
        <v>41</v>
      </c>
      <c r="Z368" t="s">
        <v>43</v>
      </c>
      <c r="AA368">
        <v>1747</v>
      </c>
      <c r="AB368" t="s">
        <v>40</v>
      </c>
      <c r="AC368" t="s">
        <v>617</v>
      </c>
      <c r="AD368" t="s">
        <v>617</v>
      </c>
    </row>
    <row r="369" spans="1:30" x14ac:dyDescent="0.3">
      <c r="A369">
        <v>301493</v>
      </c>
      <c r="B369">
        <v>301493</v>
      </c>
      <c r="C369">
        <v>1</v>
      </c>
      <c r="D369" t="s">
        <v>746</v>
      </c>
      <c r="E369" t="s">
        <v>746</v>
      </c>
      <c r="F369" t="s">
        <v>102</v>
      </c>
      <c r="G369" t="s">
        <v>102</v>
      </c>
      <c r="H369" t="s">
        <v>39</v>
      </c>
      <c r="I369" t="s">
        <v>40</v>
      </c>
      <c r="J369" t="s">
        <v>41</v>
      </c>
      <c r="K369">
        <v>0</v>
      </c>
      <c r="L369">
        <v>0</v>
      </c>
      <c r="M369">
        <v>0</v>
      </c>
      <c r="N369">
        <v>165.52760000000001</v>
      </c>
      <c r="O369">
        <v>164.433911568387</v>
      </c>
      <c r="P369" t="s">
        <v>41</v>
      </c>
      <c r="Q369">
        <v>0</v>
      </c>
      <c r="R369" t="s">
        <v>50</v>
      </c>
      <c r="S369">
        <v>1954</v>
      </c>
      <c r="T369" t="s">
        <v>66</v>
      </c>
      <c r="U369" t="s">
        <v>40</v>
      </c>
      <c r="V369" t="s">
        <v>723</v>
      </c>
      <c r="W369" t="s">
        <v>40</v>
      </c>
      <c r="X369" t="s">
        <v>41</v>
      </c>
      <c r="Y369" t="s">
        <v>41</v>
      </c>
      <c r="Z369" t="s">
        <v>43</v>
      </c>
      <c r="AA369">
        <v>1747</v>
      </c>
      <c r="AB369" t="s">
        <v>40</v>
      </c>
      <c r="AC369" t="s">
        <v>617</v>
      </c>
      <c r="AD369" t="s">
        <v>617</v>
      </c>
    </row>
    <row r="370" spans="1:30" x14ac:dyDescent="0.3">
      <c r="A370">
        <v>301496</v>
      </c>
      <c r="B370">
        <v>301496</v>
      </c>
      <c r="C370">
        <v>1</v>
      </c>
      <c r="D370" t="s">
        <v>747</v>
      </c>
      <c r="E370" t="s">
        <v>747</v>
      </c>
      <c r="F370" t="s">
        <v>102</v>
      </c>
      <c r="G370" t="s">
        <v>102</v>
      </c>
      <c r="H370" t="s">
        <v>39</v>
      </c>
      <c r="I370" t="s">
        <v>40</v>
      </c>
      <c r="J370" t="s">
        <v>41</v>
      </c>
      <c r="K370">
        <v>0</v>
      </c>
      <c r="L370">
        <v>0</v>
      </c>
      <c r="M370">
        <v>0</v>
      </c>
      <c r="N370">
        <v>4412.6679000000004</v>
      </c>
      <c r="O370">
        <v>4383.8525456039597</v>
      </c>
      <c r="P370" t="s">
        <v>41</v>
      </c>
      <c r="Q370">
        <v>0</v>
      </c>
      <c r="R370" t="s">
        <v>50</v>
      </c>
      <c r="S370">
        <v>1955</v>
      </c>
      <c r="T370" t="s">
        <v>66</v>
      </c>
      <c r="U370" t="s">
        <v>40</v>
      </c>
      <c r="V370" t="s">
        <v>723</v>
      </c>
      <c r="W370" t="s">
        <v>40</v>
      </c>
      <c r="X370" t="s">
        <v>41</v>
      </c>
      <c r="Y370" t="s">
        <v>41</v>
      </c>
      <c r="Z370" t="s">
        <v>43</v>
      </c>
      <c r="AA370">
        <v>1747</v>
      </c>
      <c r="AB370" t="s">
        <v>40</v>
      </c>
      <c r="AC370" t="s">
        <v>617</v>
      </c>
      <c r="AD370" t="s">
        <v>617</v>
      </c>
    </row>
    <row r="371" spans="1:30" x14ac:dyDescent="0.3">
      <c r="A371">
        <v>301551</v>
      </c>
      <c r="B371">
        <v>301551</v>
      </c>
      <c r="C371">
        <v>1</v>
      </c>
      <c r="D371" t="s">
        <v>748</v>
      </c>
      <c r="E371" t="s">
        <v>748</v>
      </c>
      <c r="F371" t="s">
        <v>102</v>
      </c>
      <c r="G371" t="s">
        <v>102</v>
      </c>
      <c r="H371" t="s">
        <v>39</v>
      </c>
      <c r="I371" t="s">
        <v>40</v>
      </c>
      <c r="J371" t="s">
        <v>41</v>
      </c>
      <c r="K371">
        <v>0</v>
      </c>
      <c r="L371">
        <v>0</v>
      </c>
      <c r="M371">
        <v>0</v>
      </c>
      <c r="N371">
        <v>861.88520000000005</v>
      </c>
      <c r="O371">
        <v>856.29288495954302</v>
      </c>
      <c r="P371" t="s">
        <v>41</v>
      </c>
      <c r="Q371">
        <v>0</v>
      </c>
      <c r="R371" t="s">
        <v>50</v>
      </c>
      <c r="S371">
        <v>0</v>
      </c>
      <c r="T371" t="s">
        <v>66</v>
      </c>
      <c r="U371" t="s">
        <v>40</v>
      </c>
      <c r="V371" t="s">
        <v>723</v>
      </c>
      <c r="W371" t="s">
        <v>40</v>
      </c>
      <c r="X371" t="s">
        <v>41</v>
      </c>
      <c r="Y371" t="s">
        <v>41</v>
      </c>
      <c r="Z371" t="s">
        <v>43</v>
      </c>
      <c r="AA371">
        <v>1747</v>
      </c>
      <c r="AB371" t="s">
        <v>749</v>
      </c>
      <c r="AC371" t="s">
        <v>617</v>
      </c>
      <c r="AD371" t="s">
        <v>617</v>
      </c>
    </row>
    <row r="372" spans="1:30" x14ac:dyDescent="0.3">
      <c r="A372">
        <v>301557</v>
      </c>
      <c r="B372">
        <v>301557</v>
      </c>
      <c r="C372">
        <v>1</v>
      </c>
      <c r="D372" t="s">
        <v>750</v>
      </c>
      <c r="E372" t="s">
        <v>750</v>
      </c>
      <c r="F372" t="s">
        <v>102</v>
      </c>
      <c r="G372" t="s">
        <v>102</v>
      </c>
      <c r="H372" t="s">
        <v>39</v>
      </c>
      <c r="I372" t="s">
        <v>74</v>
      </c>
      <c r="J372" t="s">
        <v>41</v>
      </c>
      <c r="K372">
        <v>0</v>
      </c>
      <c r="L372">
        <v>0</v>
      </c>
      <c r="M372">
        <v>0</v>
      </c>
      <c r="N372">
        <v>45.2167999999999</v>
      </c>
      <c r="O372">
        <v>44.925712395921401</v>
      </c>
      <c r="P372" t="s">
        <v>41</v>
      </c>
      <c r="Q372">
        <v>0</v>
      </c>
      <c r="R372" t="s">
        <v>50</v>
      </c>
      <c r="S372">
        <v>1955</v>
      </c>
      <c r="T372" t="s">
        <v>66</v>
      </c>
      <c r="U372" t="s">
        <v>40</v>
      </c>
      <c r="V372" t="s">
        <v>723</v>
      </c>
      <c r="W372" t="s">
        <v>40</v>
      </c>
      <c r="X372" t="s">
        <v>41</v>
      </c>
      <c r="Y372" t="s">
        <v>41</v>
      </c>
      <c r="Z372" t="s">
        <v>43</v>
      </c>
      <c r="AA372">
        <v>1747</v>
      </c>
      <c r="AB372" t="s">
        <v>40</v>
      </c>
      <c r="AC372" t="s">
        <v>617</v>
      </c>
      <c r="AD372" t="s">
        <v>617</v>
      </c>
    </row>
    <row r="373" spans="1:30" x14ac:dyDescent="0.3">
      <c r="A373">
        <v>301554</v>
      </c>
      <c r="B373">
        <v>301554</v>
      </c>
      <c r="C373">
        <v>1</v>
      </c>
      <c r="D373" t="s">
        <v>751</v>
      </c>
      <c r="E373" t="s">
        <v>751</v>
      </c>
      <c r="F373" t="s">
        <v>102</v>
      </c>
      <c r="G373" t="s">
        <v>102</v>
      </c>
      <c r="H373" t="s">
        <v>39</v>
      </c>
      <c r="I373" t="s">
        <v>40</v>
      </c>
      <c r="J373" t="s">
        <v>41</v>
      </c>
      <c r="K373">
        <v>0</v>
      </c>
      <c r="L373">
        <v>0</v>
      </c>
      <c r="M373">
        <v>0</v>
      </c>
      <c r="N373">
        <v>114.364999999999</v>
      </c>
      <c r="O373">
        <v>113.641606183405</v>
      </c>
      <c r="P373" t="s">
        <v>41</v>
      </c>
      <c r="Q373">
        <v>0</v>
      </c>
      <c r="R373" t="s">
        <v>50</v>
      </c>
      <c r="S373">
        <v>1953</v>
      </c>
      <c r="T373" t="s">
        <v>66</v>
      </c>
      <c r="U373" t="s">
        <v>40</v>
      </c>
      <c r="V373" t="s">
        <v>723</v>
      </c>
      <c r="W373" t="s">
        <v>40</v>
      </c>
      <c r="X373" t="s">
        <v>41</v>
      </c>
      <c r="Y373" t="s">
        <v>41</v>
      </c>
      <c r="Z373" t="s">
        <v>43</v>
      </c>
      <c r="AA373">
        <v>1747</v>
      </c>
      <c r="AB373" t="s">
        <v>40</v>
      </c>
      <c r="AC373" t="s">
        <v>617</v>
      </c>
      <c r="AD373" t="s">
        <v>617</v>
      </c>
    </row>
    <row r="374" spans="1:30" x14ac:dyDescent="0.3">
      <c r="A374">
        <v>301558</v>
      </c>
      <c r="B374">
        <v>301558</v>
      </c>
      <c r="C374">
        <v>1</v>
      </c>
      <c r="D374" t="s">
        <v>752</v>
      </c>
      <c r="E374" t="s">
        <v>752</v>
      </c>
      <c r="F374" t="s">
        <v>102</v>
      </c>
      <c r="G374" t="s">
        <v>102</v>
      </c>
      <c r="H374" t="s">
        <v>39</v>
      </c>
      <c r="I374" t="s">
        <v>40</v>
      </c>
      <c r="J374" t="s">
        <v>41</v>
      </c>
      <c r="K374">
        <v>0</v>
      </c>
      <c r="L374">
        <v>0</v>
      </c>
      <c r="M374">
        <v>0</v>
      </c>
      <c r="N374">
        <v>1130.7439999999899</v>
      </c>
      <c r="O374">
        <v>1123.38971433749</v>
      </c>
      <c r="P374" t="s">
        <v>41</v>
      </c>
      <c r="Q374">
        <v>0</v>
      </c>
      <c r="R374" t="s">
        <v>50</v>
      </c>
      <c r="S374">
        <v>0</v>
      </c>
      <c r="T374" t="s">
        <v>66</v>
      </c>
      <c r="U374" t="s">
        <v>40</v>
      </c>
      <c r="V374" t="s">
        <v>744</v>
      </c>
      <c r="W374" t="s">
        <v>40</v>
      </c>
      <c r="X374" t="s">
        <v>41</v>
      </c>
      <c r="Y374" t="s">
        <v>41</v>
      </c>
      <c r="Z374" t="s">
        <v>43</v>
      </c>
      <c r="AA374">
        <v>1747</v>
      </c>
      <c r="AB374" t="s">
        <v>749</v>
      </c>
      <c r="AC374" t="s">
        <v>617</v>
      </c>
      <c r="AD374" t="s">
        <v>617</v>
      </c>
    </row>
    <row r="375" spans="1:30" x14ac:dyDescent="0.3">
      <c r="A375">
        <v>301721</v>
      </c>
      <c r="B375">
        <v>301721</v>
      </c>
      <c r="C375">
        <v>1</v>
      </c>
      <c r="D375" t="s">
        <v>753</v>
      </c>
      <c r="E375" t="s">
        <v>753</v>
      </c>
      <c r="F375" t="s">
        <v>102</v>
      </c>
      <c r="G375" t="s">
        <v>102</v>
      </c>
      <c r="H375" t="s">
        <v>39</v>
      </c>
      <c r="I375" t="s">
        <v>40</v>
      </c>
      <c r="J375" t="s">
        <v>41</v>
      </c>
      <c r="K375">
        <v>0</v>
      </c>
      <c r="L375">
        <v>0</v>
      </c>
      <c r="M375">
        <v>0</v>
      </c>
      <c r="N375">
        <v>35.582099999999897</v>
      </c>
      <c r="O375">
        <v>35.361585639594502</v>
      </c>
      <c r="P375" t="s">
        <v>41</v>
      </c>
      <c r="Q375">
        <v>0</v>
      </c>
      <c r="R375" t="s">
        <v>50</v>
      </c>
      <c r="S375">
        <v>0</v>
      </c>
      <c r="T375" t="s">
        <v>630</v>
      </c>
      <c r="U375" t="s">
        <v>40</v>
      </c>
      <c r="V375" t="s">
        <v>754</v>
      </c>
      <c r="W375" t="s">
        <v>40</v>
      </c>
      <c r="X375" t="s">
        <v>41</v>
      </c>
      <c r="Y375" t="s">
        <v>41</v>
      </c>
      <c r="Z375" t="s">
        <v>43</v>
      </c>
      <c r="AA375">
        <v>1747</v>
      </c>
      <c r="AB375" t="s">
        <v>40</v>
      </c>
      <c r="AC375" t="s">
        <v>617</v>
      </c>
      <c r="AD375" t="s">
        <v>617</v>
      </c>
    </row>
    <row r="376" spans="1:30" x14ac:dyDescent="0.3">
      <c r="A376">
        <v>303349</v>
      </c>
      <c r="B376">
        <v>303349</v>
      </c>
      <c r="C376">
        <v>1</v>
      </c>
      <c r="D376" t="s">
        <v>755</v>
      </c>
      <c r="E376" t="s">
        <v>755</v>
      </c>
      <c r="F376" t="s">
        <v>102</v>
      </c>
      <c r="G376" t="s">
        <v>102</v>
      </c>
      <c r="H376" t="s">
        <v>39</v>
      </c>
      <c r="I376" t="s">
        <v>40</v>
      </c>
      <c r="J376" t="s">
        <v>41</v>
      </c>
      <c r="K376">
        <v>0</v>
      </c>
      <c r="L376">
        <v>0</v>
      </c>
      <c r="M376">
        <v>0</v>
      </c>
      <c r="N376">
        <v>115.346576612999</v>
      </c>
      <c r="O376">
        <v>114.581346867701</v>
      </c>
      <c r="P376" t="s">
        <v>41</v>
      </c>
      <c r="Q376">
        <v>0</v>
      </c>
      <c r="R376" t="s">
        <v>50</v>
      </c>
      <c r="S376">
        <v>0</v>
      </c>
      <c r="T376" t="s">
        <v>66</v>
      </c>
      <c r="U376" t="s">
        <v>40</v>
      </c>
      <c r="V376" t="s">
        <v>723</v>
      </c>
      <c r="W376" t="s">
        <v>40</v>
      </c>
      <c r="X376" t="s">
        <v>41</v>
      </c>
      <c r="Y376" t="s">
        <v>41</v>
      </c>
      <c r="Z376" t="s">
        <v>43</v>
      </c>
      <c r="AA376">
        <v>1747</v>
      </c>
      <c r="AB376" t="s">
        <v>40</v>
      </c>
      <c r="AC376" t="s">
        <v>617</v>
      </c>
      <c r="AD376" t="s">
        <v>617</v>
      </c>
    </row>
    <row r="377" spans="1:30" x14ac:dyDescent="0.3">
      <c r="A377">
        <v>303353</v>
      </c>
      <c r="B377">
        <v>303353</v>
      </c>
      <c r="C377">
        <v>1</v>
      </c>
      <c r="D377" t="s">
        <v>756</v>
      </c>
      <c r="E377" t="s">
        <v>756</v>
      </c>
      <c r="F377" t="s">
        <v>102</v>
      </c>
      <c r="G377" t="s">
        <v>102</v>
      </c>
      <c r="H377" t="s">
        <v>39</v>
      </c>
      <c r="I377" t="s">
        <v>40</v>
      </c>
      <c r="J377" t="s">
        <v>41</v>
      </c>
      <c r="K377">
        <v>0</v>
      </c>
      <c r="L377">
        <v>0</v>
      </c>
      <c r="M377">
        <v>0</v>
      </c>
      <c r="N377">
        <v>52.903737791399898</v>
      </c>
      <c r="O377">
        <v>52.5536595405651</v>
      </c>
      <c r="P377" t="s">
        <v>41</v>
      </c>
      <c r="Q377">
        <v>0</v>
      </c>
      <c r="R377" t="s">
        <v>50</v>
      </c>
      <c r="S377">
        <v>1941</v>
      </c>
      <c r="T377" t="s">
        <v>66</v>
      </c>
      <c r="U377" t="s">
        <v>40</v>
      </c>
      <c r="V377" t="s">
        <v>723</v>
      </c>
      <c r="W377" t="s">
        <v>40</v>
      </c>
      <c r="X377" t="s">
        <v>41</v>
      </c>
      <c r="Y377" t="s">
        <v>41</v>
      </c>
      <c r="Z377" t="s">
        <v>43</v>
      </c>
      <c r="AA377">
        <v>1747</v>
      </c>
      <c r="AB377" t="s">
        <v>40</v>
      </c>
      <c r="AC377" t="s">
        <v>617</v>
      </c>
      <c r="AD377" t="s">
        <v>617</v>
      </c>
    </row>
    <row r="378" spans="1:30" x14ac:dyDescent="0.3">
      <c r="A378">
        <v>303392</v>
      </c>
      <c r="B378">
        <v>303392</v>
      </c>
      <c r="C378">
        <v>1</v>
      </c>
      <c r="D378" t="s">
        <v>757</v>
      </c>
      <c r="E378" t="s">
        <v>757</v>
      </c>
      <c r="F378" t="s">
        <v>102</v>
      </c>
      <c r="G378" t="s">
        <v>102</v>
      </c>
      <c r="H378" t="s">
        <v>39</v>
      </c>
      <c r="I378" t="s">
        <v>40</v>
      </c>
      <c r="J378" t="s">
        <v>41</v>
      </c>
      <c r="K378">
        <v>0</v>
      </c>
      <c r="L378">
        <v>0</v>
      </c>
      <c r="M378">
        <v>0</v>
      </c>
      <c r="N378">
        <v>42.708514375299899</v>
      </c>
      <c r="O378">
        <v>42.443023724729201</v>
      </c>
      <c r="P378" t="s">
        <v>41</v>
      </c>
      <c r="Q378">
        <v>0</v>
      </c>
      <c r="R378" t="s">
        <v>50</v>
      </c>
      <c r="S378">
        <v>1988</v>
      </c>
      <c r="T378" t="s">
        <v>66</v>
      </c>
      <c r="U378" t="s">
        <v>40</v>
      </c>
      <c r="V378" t="s">
        <v>723</v>
      </c>
      <c r="W378" t="s">
        <v>40</v>
      </c>
      <c r="X378" t="s">
        <v>41</v>
      </c>
      <c r="Y378" t="s">
        <v>41</v>
      </c>
      <c r="Z378" t="s">
        <v>43</v>
      </c>
      <c r="AA378">
        <v>1747</v>
      </c>
      <c r="AB378" t="s">
        <v>40</v>
      </c>
      <c r="AC378" t="s">
        <v>617</v>
      </c>
      <c r="AD378" t="s">
        <v>617</v>
      </c>
    </row>
    <row r="379" spans="1:30" x14ac:dyDescent="0.3">
      <c r="A379">
        <v>303469</v>
      </c>
      <c r="B379">
        <v>303469</v>
      </c>
      <c r="C379">
        <v>1</v>
      </c>
      <c r="D379" t="s">
        <v>758</v>
      </c>
      <c r="E379" t="s">
        <v>758</v>
      </c>
      <c r="F379" t="s">
        <v>102</v>
      </c>
      <c r="G379" t="s">
        <v>102</v>
      </c>
      <c r="H379" t="s">
        <v>39</v>
      </c>
      <c r="I379" t="s">
        <v>40</v>
      </c>
      <c r="J379" t="s">
        <v>41</v>
      </c>
      <c r="K379">
        <v>0</v>
      </c>
      <c r="L379">
        <v>0</v>
      </c>
      <c r="M379">
        <v>0</v>
      </c>
      <c r="N379">
        <v>0.1933</v>
      </c>
      <c r="O379">
        <v>0.19052995978366899</v>
      </c>
      <c r="P379" t="s">
        <v>41</v>
      </c>
      <c r="Q379">
        <v>0</v>
      </c>
      <c r="R379" t="s">
        <v>50</v>
      </c>
      <c r="S379">
        <v>0</v>
      </c>
      <c r="T379" t="s">
        <v>66</v>
      </c>
      <c r="U379" t="s">
        <v>40</v>
      </c>
      <c r="V379" t="s">
        <v>723</v>
      </c>
      <c r="W379" t="s">
        <v>40</v>
      </c>
      <c r="X379" t="s">
        <v>41</v>
      </c>
      <c r="Y379" t="s">
        <v>41</v>
      </c>
      <c r="Z379" t="s">
        <v>43</v>
      </c>
      <c r="AA379">
        <v>1747</v>
      </c>
      <c r="AB379" t="s">
        <v>759</v>
      </c>
      <c r="AC379" t="s">
        <v>617</v>
      </c>
      <c r="AD379" t="s">
        <v>617</v>
      </c>
    </row>
    <row r="380" spans="1:30" x14ac:dyDescent="0.3">
      <c r="A380">
        <v>303486</v>
      </c>
      <c r="B380">
        <v>303486</v>
      </c>
      <c r="C380">
        <v>1</v>
      </c>
      <c r="D380" t="s">
        <v>760</v>
      </c>
      <c r="E380" t="s">
        <v>760</v>
      </c>
      <c r="F380" t="s">
        <v>102</v>
      </c>
      <c r="G380" t="s">
        <v>102</v>
      </c>
      <c r="H380" t="s">
        <v>39</v>
      </c>
      <c r="I380" t="s">
        <v>40</v>
      </c>
      <c r="J380" t="s">
        <v>41</v>
      </c>
      <c r="K380">
        <v>0</v>
      </c>
      <c r="L380">
        <v>0</v>
      </c>
      <c r="M380">
        <v>0</v>
      </c>
      <c r="N380">
        <v>32.316913331899897</v>
      </c>
      <c r="O380">
        <v>32.1045315375573</v>
      </c>
      <c r="P380" t="s">
        <v>41</v>
      </c>
      <c r="Q380">
        <v>0</v>
      </c>
      <c r="R380" t="s">
        <v>50</v>
      </c>
      <c r="S380">
        <v>0</v>
      </c>
      <c r="T380" t="s">
        <v>66</v>
      </c>
      <c r="U380" t="s">
        <v>40</v>
      </c>
      <c r="V380" t="s">
        <v>723</v>
      </c>
      <c r="W380" t="s">
        <v>40</v>
      </c>
      <c r="X380" t="s">
        <v>41</v>
      </c>
      <c r="Y380" t="s">
        <v>41</v>
      </c>
      <c r="Z380" t="s">
        <v>43</v>
      </c>
      <c r="AA380">
        <v>1747</v>
      </c>
      <c r="AB380" t="s">
        <v>759</v>
      </c>
      <c r="AC380" t="s">
        <v>617</v>
      </c>
      <c r="AD380" t="s">
        <v>617</v>
      </c>
    </row>
    <row r="381" spans="1:30" x14ac:dyDescent="0.3">
      <c r="A381">
        <v>301498</v>
      </c>
      <c r="B381">
        <v>301498</v>
      </c>
      <c r="C381">
        <v>1</v>
      </c>
      <c r="D381" t="s">
        <v>761</v>
      </c>
      <c r="E381" t="s">
        <v>761</v>
      </c>
      <c r="F381" t="s">
        <v>102</v>
      </c>
      <c r="G381" t="s">
        <v>102</v>
      </c>
      <c r="H381" t="s">
        <v>39</v>
      </c>
      <c r="I381" t="s">
        <v>40</v>
      </c>
      <c r="J381" t="s">
        <v>41</v>
      </c>
      <c r="K381">
        <v>0</v>
      </c>
      <c r="L381">
        <v>0</v>
      </c>
      <c r="M381">
        <v>0</v>
      </c>
      <c r="N381">
        <v>7360.7790000000005</v>
      </c>
      <c r="O381">
        <v>6675.0573034056697</v>
      </c>
      <c r="P381" t="s">
        <v>41</v>
      </c>
      <c r="Q381">
        <v>0</v>
      </c>
      <c r="R381" t="s">
        <v>50</v>
      </c>
      <c r="S381">
        <v>1954</v>
      </c>
      <c r="T381" t="s">
        <v>66</v>
      </c>
      <c r="U381" t="s">
        <v>40</v>
      </c>
      <c r="V381" t="s">
        <v>723</v>
      </c>
      <c r="W381" t="s">
        <v>40</v>
      </c>
      <c r="X381" t="s">
        <v>41</v>
      </c>
      <c r="Y381" t="s">
        <v>41</v>
      </c>
      <c r="Z381" t="s">
        <v>43</v>
      </c>
      <c r="AA381">
        <v>1747</v>
      </c>
      <c r="AB381" t="s">
        <v>40</v>
      </c>
      <c r="AC381" t="s">
        <v>617</v>
      </c>
      <c r="AD381" t="s">
        <v>617</v>
      </c>
    </row>
    <row r="382" spans="1:30" x14ac:dyDescent="0.3">
      <c r="A382">
        <v>301531</v>
      </c>
      <c r="B382">
        <v>301531</v>
      </c>
      <c r="C382">
        <v>1</v>
      </c>
      <c r="D382" t="s">
        <v>762</v>
      </c>
      <c r="E382" t="s">
        <v>762</v>
      </c>
      <c r="F382" t="s">
        <v>102</v>
      </c>
      <c r="G382" t="s">
        <v>102</v>
      </c>
      <c r="H382" t="s">
        <v>39</v>
      </c>
      <c r="I382" t="s">
        <v>40</v>
      </c>
      <c r="J382" t="s">
        <v>41</v>
      </c>
      <c r="K382">
        <v>0</v>
      </c>
      <c r="L382">
        <v>0</v>
      </c>
      <c r="M382">
        <v>0</v>
      </c>
      <c r="N382">
        <v>45.3506</v>
      </c>
      <c r="O382">
        <v>45.057127598865499</v>
      </c>
      <c r="P382" t="s">
        <v>41</v>
      </c>
      <c r="Q382">
        <v>0</v>
      </c>
      <c r="R382" t="s">
        <v>50</v>
      </c>
      <c r="S382">
        <v>1946</v>
      </c>
      <c r="T382" t="s">
        <v>66</v>
      </c>
      <c r="U382" t="s">
        <v>40</v>
      </c>
      <c r="V382" t="s">
        <v>723</v>
      </c>
      <c r="W382" t="s">
        <v>40</v>
      </c>
      <c r="X382" t="s">
        <v>41</v>
      </c>
      <c r="Y382" t="s">
        <v>41</v>
      </c>
      <c r="Z382" t="s">
        <v>43</v>
      </c>
      <c r="AA382">
        <v>1747</v>
      </c>
      <c r="AB382" t="s">
        <v>40</v>
      </c>
      <c r="AC382" t="s">
        <v>617</v>
      </c>
      <c r="AD382" t="s">
        <v>617</v>
      </c>
    </row>
    <row r="383" spans="1:30" x14ac:dyDescent="0.3">
      <c r="A383">
        <v>303358</v>
      </c>
      <c r="B383">
        <v>303358</v>
      </c>
      <c r="C383">
        <v>1</v>
      </c>
      <c r="D383" t="s">
        <v>763</v>
      </c>
      <c r="E383" t="s">
        <v>763</v>
      </c>
      <c r="F383" t="s">
        <v>102</v>
      </c>
      <c r="G383" t="s">
        <v>102</v>
      </c>
      <c r="H383" t="s">
        <v>39</v>
      </c>
      <c r="I383" t="s">
        <v>40</v>
      </c>
      <c r="J383" t="s">
        <v>41</v>
      </c>
      <c r="K383">
        <v>0</v>
      </c>
      <c r="L383">
        <v>0</v>
      </c>
      <c r="M383">
        <v>0</v>
      </c>
      <c r="N383">
        <v>170.76300000000001</v>
      </c>
      <c r="O383">
        <v>169.659406608441</v>
      </c>
      <c r="P383" t="s">
        <v>41</v>
      </c>
      <c r="Q383">
        <v>0</v>
      </c>
      <c r="R383" t="s">
        <v>50</v>
      </c>
      <c r="S383">
        <v>2005</v>
      </c>
      <c r="T383" t="s">
        <v>66</v>
      </c>
      <c r="U383" t="s">
        <v>40</v>
      </c>
      <c r="V383" t="s">
        <v>723</v>
      </c>
      <c r="W383" t="s">
        <v>40</v>
      </c>
      <c r="X383" t="s">
        <v>41</v>
      </c>
      <c r="Y383" t="s">
        <v>41</v>
      </c>
      <c r="Z383" t="s">
        <v>43</v>
      </c>
      <c r="AA383">
        <v>1747</v>
      </c>
      <c r="AB383" t="s">
        <v>40</v>
      </c>
      <c r="AC383" t="s">
        <v>617</v>
      </c>
      <c r="AD383" t="s">
        <v>617</v>
      </c>
    </row>
    <row r="384" spans="1:30" x14ac:dyDescent="0.3">
      <c r="A384">
        <v>301412</v>
      </c>
      <c r="B384">
        <v>301412</v>
      </c>
      <c r="C384">
        <v>1</v>
      </c>
      <c r="D384" t="s">
        <v>764</v>
      </c>
      <c r="E384" t="s">
        <v>764</v>
      </c>
      <c r="F384" t="s">
        <v>102</v>
      </c>
      <c r="G384" t="s">
        <v>102</v>
      </c>
      <c r="H384" t="s">
        <v>39</v>
      </c>
      <c r="I384" t="s">
        <v>40</v>
      </c>
      <c r="J384" t="s">
        <v>41</v>
      </c>
      <c r="K384">
        <v>0</v>
      </c>
      <c r="L384">
        <v>0</v>
      </c>
      <c r="M384">
        <v>0</v>
      </c>
      <c r="N384">
        <v>466.01060000000001</v>
      </c>
      <c r="O384">
        <v>309.85865571627801</v>
      </c>
      <c r="P384" t="s">
        <v>41</v>
      </c>
      <c r="Q384">
        <v>0</v>
      </c>
      <c r="R384" t="s">
        <v>50</v>
      </c>
      <c r="S384">
        <v>1951</v>
      </c>
      <c r="T384" t="s">
        <v>66</v>
      </c>
      <c r="U384" t="s">
        <v>40</v>
      </c>
      <c r="V384" t="s">
        <v>744</v>
      </c>
      <c r="W384" t="s">
        <v>40</v>
      </c>
      <c r="X384" t="s">
        <v>41</v>
      </c>
      <c r="Y384" t="s">
        <v>41</v>
      </c>
      <c r="Z384" t="s">
        <v>43</v>
      </c>
      <c r="AA384">
        <v>1747</v>
      </c>
      <c r="AB384" t="s">
        <v>40</v>
      </c>
      <c r="AC384" t="s">
        <v>617</v>
      </c>
      <c r="AD384" t="s">
        <v>617</v>
      </c>
    </row>
    <row r="385" spans="1:30" x14ac:dyDescent="0.3">
      <c r="A385">
        <v>555556082</v>
      </c>
      <c r="B385">
        <v>555556082</v>
      </c>
      <c r="C385">
        <v>1</v>
      </c>
      <c r="D385" t="s">
        <v>765</v>
      </c>
      <c r="E385" t="s">
        <v>765</v>
      </c>
      <c r="F385" t="s">
        <v>102</v>
      </c>
      <c r="G385" t="s">
        <v>102</v>
      </c>
      <c r="H385" t="s">
        <v>39</v>
      </c>
      <c r="I385" t="s">
        <v>40</v>
      </c>
      <c r="J385" t="s">
        <v>41</v>
      </c>
      <c r="K385">
        <v>0</v>
      </c>
      <c r="L385">
        <v>0</v>
      </c>
      <c r="M385">
        <v>0</v>
      </c>
      <c r="N385">
        <v>0.87275148798500002</v>
      </c>
      <c r="O385">
        <v>0.86696225556609996</v>
      </c>
      <c r="P385" t="s">
        <v>41</v>
      </c>
      <c r="Q385">
        <v>0</v>
      </c>
      <c r="R385" t="s">
        <v>50</v>
      </c>
      <c r="S385">
        <v>1953</v>
      </c>
      <c r="T385" t="s">
        <v>66</v>
      </c>
      <c r="U385" t="s">
        <v>40</v>
      </c>
      <c r="V385" t="s">
        <v>723</v>
      </c>
      <c r="W385" t="s">
        <v>40</v>
      </c>
      <c r="X385" t="s">
        <v>41</v>
      </c>
      <c r="Y385" t="s">
        <v>41</v>
      </c>
      <c r="Z385" t="s">
        <v>43</v>
      </c>
      <c r="AA385">
        <v>1747</v>
      </c>
      <c r="AB385" t="s">
        <v>40</v>
      </c>
      <c r="AC385" t="s">
        <v>617</v>
      </c>
      <c r="AD385" t="s">
        <v>617</v>
      </c>
    </row>
    <row r="386" spans="1:30" x14ac:dyDescent="0.3">
      <c r="A386">
        <v>301515</v>
      </c>
      <c r="B386">
        <v>301515</v>
      </c>
      <c r="C386">
        <v>1</v>
      </c>
      <c r="D386" t="s">
        <v>766</v>
      </c>
      <c r="E386" t="s">
        <v>767</v>
      </c>
      <c r="F386" t="s">
        <v>102</v>
      </c>
      <c r="G386" t="s">
        <v>102</v>
      </c>
      <c r="H386" t="s">
        <v>39</v>
      </c>
      <c r="I386" t="s">
        <v>40</v>
      </c>
      <c r="J386" t="s">
        <v>41</v>
      </c>
      <c r="K386">
        <v>0</v>
      </c>
      <c r="L386">
        <v>0</v>
      </c>
      <c r="M386">
        <v>0</v>
      </c>
      <c r="N386">
        <v>228.515999999999</v>
      </c>
      <c r="O386">
        <v>227.019669799507</v>
      </c>
      <c r="P386" t="s">
        <v>41</v>
      </c>
      <c r="Q386">
        <v>0</v>
      </c>
      <c r="R386" t="s">
        <v>50</v>
      </c>
      <c r="S386">
        <v>0</v>
      </c>
      <c r="T386" t="s">
        <v>66</v>
      </c>
      <c r="U386" t="s">
        <v>40</v>
      </c>
      <c r="V386" t="s">
        <v>723</v>
      </c>
      <c r="W386" t="s">
        <v>40</v>
      </c>
      <c r="X386" t="s">
        <v>41</v>
      </c>
      <c r="Y386" t="s">
        <v>41</v>
      </c>
      <c r="Z386" t="s">
        <v>43</v>
      </c>
      <c r="AA386">
        <v>1747</v>
      </c>
      <c r="AB386" t="s">
        <v>40</v>
      </c>
      <c r="AC386" t="s">
        <v>617</v>
      </c>
      <c r="AD386" t="s">
        <v>617</v>
      </c>
    </row>
    <row r="387" spans="1:30" x14ac:dyDescent="0.3">
      <c r="A387">
        <v>301613</v>
      </c>
      <c r="B387">
        <v>301613</v>
      </c>
      <c r="C387">
        <v>1</v>
      </c>
      <c r="D387" t="s">
        <v>768</v>
      </c>
      <c r="E387" t="s">
        <v>769</v>
      </c>
      <c r="F387" t="s">
        <v>102</v>
      </c>
      <c r="G387" t="s">
        <v>102</v>
      </c>
      <c r="H387" t="s">
        <v>39</v>
      </c>
      <c r="I387" t="s">
        <v>74</v>
      </c>
      <c r="J387" t="s">
        <v>41</v>
      </c>
      <c r="K387">
        <v>0</v>
      </c>
      <c r="L387">
        <v>0</v>
      </c>
      <c r="M387">
        <v>0</v>
      </c>
      <c r="N387">
        <v>190.8605</v>
      </c>
      <c r="O387">
        <v>160.473087458783</v>
      </c>
      <c r="P387" t="s">
        <v>41</v>
      </c>
      <c r="Q387">
        <v>0</v>
      </c>
      <c r="R387" t="s">
        <v>50</v>
      </c>
      <c r="S387">
        <v>1958</v>
      </c>
      <c r="T387" t="s">
        <v>66</v>
      </c>
      <c r="U387" t="s">
        <v>40</v>
      </c>
      <c r="V387" t="s">
        <v>723</v>
      </c>
      <c r="W387" t="s">
        <v>40</v>
      </c>
      <c r="X387" t="s">
        <v>41</v>
      </c>
      <c r="Y387" t="s">
        <v>41</v>
      </c>
      <c r="Z387" t="s">
        <v>43</v>
      </c>
      <c r="AA387">
        <v>1747</v>
      </c>
      <c r="AB387" t="s">
        <v>40</v>
      </c>
      <c r="AC387" t="s">
        <v>617</v>
      </c>
      <c r="AD387" t="s">
        <v>617</v>
      </c>
    </row>
    <row r="388" spans="1:30" x14ac:dyDescent="0.3">
      <c r="A388">
        <v>303354</v>
      </c>
      <c r="B388">
        <v>303354</v>
      </c>
      <c r="C388">
        <v>1</v>
      </c>
      <c r="D388" t="s">
        <v>770</v>
      </c>
      <c r="E388" t="s">
        <v>770</v>
      </c>
      <c r="F388" t="s">
        <v>102</v>
      </c>
      <c r="G388" t="s">
        <v>102</v>
      </c>
      <c r="H388" t="s">
        <v>39</v>
      </c>
      <c r="I388" t="s">
        <v>40</v>
      </c>
      <c r="J388" t="s">
        <v>41</v>
      </c>
      <c r="K388">
        <v>0</v>
      </c>
      <c r="L388">
        <v>0</v>
      </c>
      <c r="M388">
        <v>0</v>
      </c>
      <c r="N388">
        <v>74.357299999999896</v>
      </c>
      <c r="O388">
        <v>73.871693288061905</v>
      </c>
      <c r="P388" t="s">
        <v>41</v>
      </c>
      <c r="Q388">
        <v>0</v>
      </c>
      <c r="R388" t="s">
        <v>50</v>
      </c>
      <c r="S388">
        <v>1941</v>
      </c>
      <c r="T388" t="s">
        <v>66</v>
      </c>
      <c r="U388" t="s">
        <v>40</v>
      </c>
      <c r="V388" t="s">
        <v>723</v>
      </c>
      <c r="W388" t="s">
        <v>40</v>
      </c>
      <c r="X388" t="s">
        <v>41</v>
      </c>
      <c r="Y388" t="s">
        <v>41</v>
      </c>
      <c r="Z388" t="s">
        <v>43</v>
      </c>
      <c r="AA388">
        <v>1747</v>
      </c>
      <c r="AB388" t="s">
        <v>40</v>
      </c>
      <c r="AC388" t="s">
        <v>617</v>
      </c>
      <c r="AD388" t="s">
        <v>617</v>
      </c>
    </row>
    <row r="389" spans="1:30" x14ac:dyDescent="0.3">
      <c r="A389">
        <v>301626</v>
      </c>
      <c r="B389">
        <v>301626</v>
      </c>
      <c r="C389">
        <v>1</v>
      </c>
      <c r="D389" t="s">
        <v>771</v>
      </c>
      <c r="E389" t="s">
        <v>771</v>
      </c>
      <c r="F389" t="s">
        <v>102</v>
      </c>
      <c r="G389" t="s">
        <v>102</v>
      </c>
      <c r="H389" t="s">
        <v>39</v>
      </c>
      <c r="I389" t="s">
        <v>40</v>
      </c>
      <c r="J389" t="s">
        <v>41</v>
      </c>
      <c r="K389">
        <v>0</v>
      </c>
      <c r="L389">
        <v>0</v>
      </c>
      <c r="M389">
        <v>0</v>
      </c>
      <c r="N389">
        <v>510.77260000000001</v>
      </c>
      <c r="O389">
        <v>507.503426645866</v>
      </c>
      <c r="P389" t="s">
        <v>41</v>
      </c>
      <c r="Q389">
        <v>0</v>
      </c>
      <c r="R389" t="s">
        <v>50</v>
      </c>
      <c r="S389">
        <v>1962</v>
      </c>
      <c r="T389" t="s">
        <v>66</v>
      </c>
      <c r="U389" t="s">
        <v>40</v>
      </c>
      <c r="V389" t="s">
        <v>723</v>
      </c>
      <c r="W389" t="s">
        <v>40</v>
      </c>
      <c r="X389" t="s">
        <v>41</v>
      </c>
      <c r="Y389" t="s">
        <v>41</v>
      </c>
      <c r="Z389" t="s">
        <v>43</v>
      </c>
      <c r="AA389">
        <v>1747</v>
      </c>
      <c r="AB389" t="s">
        <v>40</v>
      </c>
      <c r="AC389" t="s">
        <v>617</v>
      </c>
      <c r="AD389" t="s">
        <v>617</v>
      </c>
    </row>
    <row r="390" spans="1:30" x14ac:dyDescent="0.3">
      <c r="A390">
        <v>303344</v>
      </c>
      <c r="B390">
        <v>303344</v>
      </c>
      <c r="C390">
        <v>1</v>
      </c>
      <c r="D390" t="s">
        <v>772</v>
      </c>
      <c r="E390" t="s">
        <v>772</v>
      </c>
      <c r="F390" t="s">
        <v>102</v>
      </c>
      <c r="G390" t="s">
        <v>102</v>
      </c>
      <c r="H390" t="s">
        <v>39</v>
      </c>
      <c r="I390" t="s">
        <v>40</v>
      </c>
      <c r="J390" t="s">
        <v>41</v>
      </c>
      <c r="K390">
        <v>0</v>
      </c>
      <c r="L390">
        <v>0</v>
      </c>
      <c r="M390">
        <v>0</v>
      </c>
      <c r="N390">
        <v>189.99790680300001</v>
      </c>
      <c r="O390">
        <v>188.73547564824801</v>
      </c>
      <c r="P390" t="s">
        <v>41</v>
      </c>
      <c r="Q390">
        <v>0</v>
      </c>
      <c r="R390" t="s">
        <v>50</v>
      </c>
      <c r="S390">
        <v>1958</v>
      </c>
      <c r="T390" t="s">
        <v>66</v>
      </c>
      <c r="U390" t="s">
        <v>40</v>
      </c>
      <c r="V390" t="s">
        <v>744</v>
      </c>
      <c r="W390" t="s">
        <v>40</v>
      </c>
      <c r="X390" t="s">
        <v>41</v>
      </c>
      <c r="Y390" t="s">
        <v>41</v>
      </c>
      <c r="Z390" t="s">
        <v>43</v>
      </c>
      <c r="AA390">
        <v>1747</v>
      </c>
      <c r="AB390" t="s">
        <v>40</v>
      </c>
      <c r="AC390" t="s">
        <v>617</v>
      </c>
      <c r="AD390" t="s">
        <v>617</v>
      </c>
    </row>
    <row r="391" spans="1:30" x14ac:dyDescent="0.3">
      <c r="A391">
        <v>555623837</v>
      </c>
      <c r="B391">
        <v>555623837</v>
      </c>
      <c r="C391">
        <v>1</v>
      </c>
      <c r="D391" t="s">
        <v>773</v>
      </c>
      <c r="E391" t="s">
        <v>773</v>
      </c>
      <c r="F391" t="s">
        <v>102</v>
      </c>
      <c r="G391" t="s">
        <v>102</v>
      </c>
      <c r="H391" t="s">
        <v>39</v>
      </c>
      <c r="I391" t="s">
        <v>40</v>
      </c>
      <c r="J391" t="s">
        <v>41</v>
      </c>
      <c r="K391">
        <v>0</v>
      </c>
      <c r="L391">
        <v>0</v>
      </c>
      <c r="M391">
        <v>0</v>
      </c>
      <c r="N391">
        <v>302.20127931100001</v>
      </c>
      <c r="O391">
        <v>300.23785152445402</v>
      </c>
      <c r="P391" t="s">
        <v>41</v>
      </c>
      <c r="Q391">
        <v>0</v>
      </c>
      <c r="R391" t="s">
        <v>50</v>
      </c>
      <c r="S391">
        <v>0</v>
      </c>
      <c r="T391" t="s">
        <v>66</v>
      </c>
      <c r="U391" t="s">
        <v>40</v>
      </c>
      <c r="V391" t="s">
        <v>723</v>
      </c>
      <c r="W391" t="s">
        <v>40</v>
      </c>
      <c r="X391" t="s">
        <v>41</v>
      </c>
      <c r="Y391" t="s">
        <v>41</v>
      </c>
      <c r="Z391" t="s">
        <v>43</v>
      </c>
      <c r="AA391">
        <v>1747</v>
      </c>
      <c r="AB391" t="s">
        <v>40</v>
      </c>
      <c r="AC391" t="s">
        <v>617</v>
      </c>
      <c r="AD391" t="s">
        <v>617</v>
      </c>
    </row>
    <row r="392" spans="1:30" x14ac:dyDescent="0.3">
      <c r="A392">
        <v>555623844</v>
      </c>
      <c r="B392">
        <v>555623844</v>
      </c>
      <c r="C392">
        <v>1</v>
      </c>
      <c r="D392" t="s">
        <v>774</v>
      </c>
      <c r="E392" t="s">
        <v>774</v>
      </c>
      <c r="F392" t="s">
        <v>102</v>
      </c>
      <c r="G392" t="s">
        <v>102</v>
      </c>
      <c r="H392" t="s">
        <v>39</v>
      </c>
      <c r="I392" t="s">
        <v>40</v>
      </c>
      <c r="J392" t="s">
        <v>41</v>
      </c>
      <c r="K392">
        <v>0</v>
      </c>
      <c r="L392">
        <v>0</v>
      </c>
      <c r="M392">
        <v>0</v>
      </c>
      <c r="N392">
        <v>282.89418613200002</v>
      </c>
      <c r="O392">
        <v>281.06020147871902</v>
      </c>
      <c r="P392" t="s">
        <v>41</v>
      </c>
      <c r="Q392">
        <v>0</v>
      </c>
      <c r="R392" t="s">
        <v>50</v>
      </c>
      <c r="S392">
        <v>0</v>
      </c>
      <c r="T392" t="s">
        <v>66</v>
      </c>
      <c r="U392" t="s">
        <v>40</v>
      </c>
      <c r="V392" t="s">
        <v>723</v>
      </c>
      <c r="W392" t="s">
        <v>40</v>
      </c>
      <c r="X392" t="s">
        <v>41</v>
      </c>
      <c r="Y392" t="s">
        <v>41</v>
      </c>
      <c r="Z392" t="s">
        <v>43</v>
      </c>
      <c r="AA392">
        <v>1747</v>
      </c>
      <c r="AB392" t="s">
        <v>40</v>
      </c>
      <c r="AC392" t="s">
        <v>617</v>
      </c>
      <c r="AD392" t="s">
        <v>617</v>
      </c>
    </row>
    <row r="393" spans="1:30" x14ac:dyDescent="0.3">
      <c r="A393">
        <v>555623843</v>
      </c>
      <c r="B393">
        <v>555623843</v>
      </c>
      <c r="C393">
        <v>1</v>
      </c>
      <c r="D393" t="s">
        <v>775</v>
      </c>
      <c r="E393" t="s">
        <v>775</v>
      </c>
      <c r="F393" t="s">
        <v>102</v>
      </c>
      <c r="G393" t="s">
        <v>102</v>
      </c>
      <c r="H393" t="s">
        <v>39</v>
      </c>
      <c r="I393" t="s">
        <v>40</v>
      </c>
      <c r="J393" t="s">
        <v>41</v>
      </c>
      <c r="K393">
        <v>0</v>
      </c>
      <c r="L393">
        <v>0</v>
      </c>
      <c r="M393">
        <v>0</v>
      </c>
      <c r="N393">
        <v>166.32044070500001</v>
      </c>
      <c r="O393">
        <v>165.21668491122099</v>
      </c>
      <c r="P393" t="s">
        <v>41</v>
      </c>
      <c r="Q393">
        <v>0</v>
      </c>
      <c r="R393" t="s">
        <v>50</v>
      </c>
      <c r="S393">
        <v>0</v>
      </c>
      <c r="T393" t="s">
        <v>66</v>
      </c>
      <c r="U393" t="s">
        <v>40</v>
      </c>
      <c r="V393" t="s">
        <v>723</v>
      </c>
      <c r="W393" t="s">
        <v>40</v>
      </c>
      <c r="X393" t="s">
        <v>41</v>
      </c>
      <c r="Y393" t="s">
        <v>41</v>
      </c>
      <c r="Z393" t="s">
        <v>43</v>
      </c>
      <c r="AA393">
        <v>1747</v>
      </c>
      <c r="AB393" t="s">
        <v>40</v>
      </c>
      <c r="AC393" t="s">
        <v>617</v>
      </c>
      <c r="AD393" t="s">
        <v>617</v>
      </c>
    </row>
    <row r="394" spans="1:30" x14ac:dyDescent="0.3">
      <c r="A394">
        <v>555623846</v>
      </c>
      <c r="B394">
        <v>555623846</v>
      </c>
      <c r="C394">
        <v>1</v>
      </c>
      <c r="D394" t="s">
        <v>776</v>
      </c>
      <c r="E394" t="s">
        <v>776</v>
      </c>
      <c r="F394" t="s">
        <v>102</v>
      </c>
      <c r="G394" t="s">
        <v>102</v>
      </c>
      <c r="H394" t="s">
        <v>39</v>
      </c>
      <c r="I394" t="s">
        <v>40</v>
      </c>
      <c r="J394" t="s">
        <v>41</v>
      </c>
      <c r="K394">
        <v>0</v>
      </c>
      <c r="L394">
        <v>0</v>
      </c>
      <c r="M394">
        <v>0</v>
      </c>
      <c r="N394">
        <v>158.782242421999</v>
      </c>
      <c r="O394">
        <v>157.73332271933199</v>
      </c>
      <c r="P394" t="s">
        <v>41</v>
      </c>
      <c r="Q394">
        <v>0</v>
      </c>
      <c r="R394" t="s">
        <v>42</v>
      </c>
      <c r="S394">
        <v>0</v>
      </c>
      <c r="T394" t="s">
        <v>66</v>
      </c>
      <c r="U394" t="s">
        <v>40</v>
      </c>
      <c r="V394" t="s">
        <v>723</v>
      </c>
      <c r="W394" t="s">
        <v>40</v>
      </c>
      <c r="X394" t="s">
        <v>41</v>
      </c>
      <c r="Y394" t="s">
        <v>41</v>
      </c>
      <c r="Z394" t="s">
        <v>43</v>
      </c>
      <c r="AA394">
        <v>1747</v>
      </c>
      <c r="AB394" t="s">
        <v>40</v>
      </c>
      <c r="AC394" t="s">
        <v>617</v>
      </c>
      <c r="AD394" t="s">
        <v>617</v>
      </c>
    </row>
    <row r="395" spans="1:30" x14ac:dyDescent="0.3">
      <c r="A395">
        <v>555623845</v>
      </c>
      <c r="B395">
        <v>555623845</v>
      </c>
      <c r="C395">
        <v>1</v>
      </c>
      <c r="D395" t="s">
        <v>777</v>
      </c>
      <c r="E395" t="s">
        <v>777</v>
      </c>
      <c r="F395" t="s">
        <v>102</v>
      </c>
      <c r="G395" t="s">
        <v>102</v>
      </c>
      <c r="H395" t="s">
        <v>39</v>
      </c>
      <c r="I395" t="s">
        <v>40</v>
      </c>
      <c r="J395" t="s">
        <v>41</v>
      </c>
      <c r="K395">
        <v>0</v>
      </c>
      <c r="L395">
        <v>0</v>
      </c>
      <c r="M395">
        <v>0</v>
      </c>
      <c r="N395">
        <v>1027.558256</v>
      </c>
      <c r="O395">
        <v>1020.77901427635</v>
      </c>
      <c r="P395" t="s">
        <v>41</v>
      </c>
      <c r="Q395">
        <v>0</v>
      </c>
      <c r="R395" t="s">
        <v>50</v>
      </c>
      <c r="S395">
        <v>1956</v>
      </c>
      <c r="T395" t="s">
        <v>66</v>
      </c>
      <c r="U395" t="s">
        <v>40</v>
      </c>
      <c r="V395" t="s">
        <v>723</v>
      </c>
      <c r="W395" t="s">
        <v>40</v>
      </c>
      <c r="X395" t="s">
        <v>41</v>
      </c>
      <c r="Y395" t="s">
        <v>41</v>
      </c>
      <c r="Z395" t="s">
        <v>43</v>
      </c>
      <c r="AA395">
        <v>1747</v>
      </c>
      <c r="AB395" t="s">
        <v>40</v>
      </c>
      <c r="AC395" t="s">
        <v>617</v>
      </c>
      <c r="AD395" t="s">
        <v>617</v>
      </c>
    </row>
    <row r="396" spans="1:30" x14ac:dyDescent="0.3">
      <c r="A396">
        <v>555623848</v>
      </c>
      <c r="B396">
        <v>555623848</v>
      </c>
      <c r="C396">
        <v>1</v>
      </c>
      <c r="D396" t="s">
        <v>778</v>
      </c>
      <c r="E396" t="s">
        <v>778</v>
      </c>
      <c r="F396" t="s">
        <v>102</v>
      </c>
      <c r="G396" t="s">
        <v>102</v>
      </c>
      <c r="H396" t="s">
        <v>39</v>
      </c>
      <c r="I396" t="s">
        <v>40</v>
      </c>
      <c r="J396" t="s">
        <v>41</v>
      </c>
      <c r="K396">
        <v>0</v>
      </c>
      <c r="L396">
        <v>0</v>
      </c>
      <c r="M396">
        <v>0</v>
      </c>
      <c r="N396">
        <v>4999.9832714499898</v>
      </c>
      <c r="O396">
        <v>4967.2509177027996</v>
      </c>
      <c r="P396" t="s">
        <v>41</v>
      </c>
      <c r="Q396">
        <v>0</v>
      </c>
      <c r="R396" t="s">
        <v>50</v>
      </c>
      <c r="S396">
        <v>0</v>
      </c>
      <c r="T396" t="s">
        <v>66</v>
      </c>
      <c r="U396" t="s">
        <v>40</v>
      </c>
      <c r="V396" t="s">
        <v>723</v>
      </c>
      <c r="W396" t="s">
        <v>40</v>
      </c>
      <c r="X396" t="s">
        <v>41</v>
      </c>
      <c r="Y396" t="s">
        <v>41</v>
      </c>
      <c r="Z396" t="s">
        <v>43</v>
      </c>
      <c r="AA396">
        <v>1747</v>
      </c>
      <c r="AB396" t="s">
        <v>40</v>
      </c>
      <c r="AC396" t="s">
        <v>617</v>
      </c>
      <c r="AD396" t="s">
        <v>617</v>
      </c>
    </row>
    <row r="397" spans="1:30" x14ac:dyDescent="0.3">
      <c r="A397">
        <v>555623851</v>
      </c>
      <c r="B397">
        <v>555623851</v>
      </c>
      <c r="C397">
        <v>1</v>
      </c>
      <c r="D397" t="s">
        <v>779</v>
      </c>
      <c r="E397" t="s">
        <v>779</v>
      </c>
      <c r="F397" t="s">
        <v>102</v>
      </c>
      <c r="G397" t="s">
        <v>102</v>
      </c>
      <c r="H397" t="s">
        <v>39</v>
      </c>
      <c r="I397" t="s">
        <v>40</v>
      </c>
      <c r="J397" t="s">
        <v>41</v>
      </c>
      <c r="K397">
        <v>0</v>
      </c>
      <c r="L397">
        <v>0</v>
      </c>
      <c r="M397">
        <v>0</v>
      </c>
      <c r="N397">
        <v>5.3024633157799999</v>
      </c>
      <c r="O397">
        <v>5.2686589569666502</v>
      </c>
      <c r="P397" t="s">
        <v>41</v>
      </c>
      <c r="Q397">
        <v>0</v>
      </c>
      <c r="R397" t="s">
        <v>50</v>
      </c>
      <c r="S397">
        <v>0</v>
      </c>
      <c r="T397" t="s">
        <v>66</v>
      </c>
      <c r="U397" t="s">
        <v>40</v>
      </c>
      <c r="V397" t="s">
        <v>723</v>
      </c>
      <c r="W397" t="s">
        <v>40</v>
      </c>
      <c r="X397" t="s">
        <v>41</v>
      </c>
      <c r="Y397" t="s">
        <v>41</v>
      </c>
      <c r="Z397" t="s">
        <v>43</v>
      </c>
      <c r="AA397">
        <v>1747</v>
      </c>
      <c r="AB397" t="s">
        <v>40</v>
      </c>
      <c r="AC397" t="s">
        <v>617</v>
      </c>
      <c r="AD397" t="s">
        <v>617</v>
      </c>
    </row>
    <row r="398" spans="1:30" x14ac:dyDescent="0.3">
      <c r="A398">
        <v>555624074</v>
      </c>
      <c r="B398">
        <v>555624074</v>
      </c>
      <c r="C398">
        <v>1</v>
      </c>
      <c r="D398" t="s">
        <v>780</v>
      </c>
      <c r="E398" t="s">
        <v>780</v>
      </c>
      <c r="F398" t="s">
        <v>102</v>
      </c>
      <c r="G398" t="s">
        <v>102</v>
      </c>
      <c r="H398" t="s">
        <v>39</v>
      </c>
      <c r="I398" t="s">
        <v>40</v>
      </c>
      <c r="J398" t="s">
        <v>41</v>
      </c>
      <c r="K398">
        <v>0</v>
      </c>
      <c r="L398">
        <v>0</v>
      </c>
      <c r="M398">
        <v>0</v>
      </c>
      <c r="N398">
        <v>16.633213209600001</v>
      </c>
      <c r="O398">
        <v>16.5246717774872</v>
      </c>
      <c r="P398" t="s">
        <v>41</v>
      </c>
      <c r="Q398">
        <v>0</v>
      </c>
      <c r="R398" t="s">
        <v>50</v>
      </c>
      <c r="S398">
        <v>1958</v>
      </c>
      <c r="T398" t="s">
        <v>66</v>
      </c>
      <c r="U398" t="s">
        <v>40</v>
      </c>
      <c r="V398" t="s">
        <v>723</v>
      </c>
      <c r="W398" t="s">
        <v>40</v>
      </c>
      <c r="X398" t="s">
        <v>41</v>
      </c>
      <c r="Y398" t="s">
        <v>41</v>
      </c>
      <c r="Z398" t="s">
        <v>43</v>
      </c>
      <c r="AA398">
        <v>1747</v>
      </c>
      <c r="AB398" t="s">
        <v>40</v>
      </c>
      <c r="AC398" t="s">
        <v>617</v>
      </c>
      <c r="AD398" t="s">
        <v>617</v>
      </c>
    </row>
    <row r="399" spans="1:30" x14ac:dyDescent="0.3">
      <c r="A399">
        <v>555624081</v>
      </c>
      <c r="B399">
        <v>555624081</v>
      </c>
      <c r="C399">
        <v>1</v>
      </c>
      <c r="D399" t="s">
        <v>781</v>
      </c>
      <c r="E399" t="s">
        <v>781</v>
      </c>
      <c r="F399" t="s">
        <v>102</v>
      </c>
      <c r="G399" t="s">
        <v>102</v>
      </c>
      <c r="H399" t="s">
        <v>39</v>
      </c>
      <c r="I399" t="s">
        <v>40</v>
      </c>
      <c r="J399" t="s">
        <v>41</v>
      </c>
      <c r="K399">
        <v>0</v>
      </c>
      <c r="L399">
        <v>0</v>
      </c>
      <c r="M399">
        <v>0</v>
      </c>
      <c r="N399">
        <v>278.14259932499903</v>
      </c>
      <c r="O399">
        <v>276.31594976541101</v>
      </c>
      <c r="P399" t="s">
        <v>41</v>
      </c>
      <c r="Q399">
        <v>0</v>
      </c>
      <c r="R399" t="s">
        <v>50</v>
      </c>
      <c r="S399">
        <v>0</v>
      </c>
      <c r="T399" t="s">
        <v>66</v>
      </c>
      <c r="U399" t="s">
        <v>40</v>
      </c>
      <c r="V399" t="s">
        <v>723</v>
      </c>
      <c r="W399" t="s">
        <v>40</v>
      </c>
      <c r="X399" t="s">
        <v>41</v>
      </c>
      <c r="Y399" t="s">
        <v>41</v>
      </c>
      <c r="Z399" t="s">
        <v>43</v>
      </c>
      <c r="AA399">
        <v>1747</v>
      </c>
      <c r="AB399" t="s">
        <v>40</v>
      </c>
      <c r="AC399" t="s">
        <v>617</v>
      </c>
      <c r="AD399" t="s">
        <v>617</v>
      </c>
    </row>
    <row r="400" spans="1:30" x14ac:dyDescent="0.3">
      <c r="A400">
        <v>555624082</v>
      </c>
      <c r="B400">
        <v>555624082</v>
      </c>
      <c r="C400">
        <v>1</v>
      </c>
      <c r="D400" t="s">
        <v>782</v>
      </c>
      <c r="E400" t="s">
        <v>782</v>
      </c>
      <c r="F400" t="s">
        <v>102</v>
      </c>
      <c r="G400" t="s">
        <v>102</v>
      </c>
      <c r="H400" t="s">
        <v>39</v>
      </c>
      <c r="I400" t="s">
        <v>40</v>
      </c>
      <c r="J400" t="s">
        <v>41</v>
      </c>
      <c r="K400">
        <v>0</v>
      </c>
      <c r="L400">
        <v>0</v>
      </c>
      <c r="M400">
        <v>0</v>
      </c>
      <c r="N400">
        <v>1462.3225447299901</v>
      </c>
      <c r="O400">
        <v>1452.61265618279</v>
      </c>
      <c r="P400" t="s">
        <v>41</v>
      </c>
      <c r="Q400">
        <v>0</v>
      </c>
      <c r="R400" t="s">
        <v>50</v>
      </c>
      <c r="S400">
        <v>1954</v>
      </c>
      <c r="T400" t="s">
        <v>66</v>
      </c>
      <c r="U400" t="s">
        <v>40</v>
      </c>
      <c r="V400" t="s">
        <v>723</v>
      </c>
      <c r="W400" t="s">
        <v>40</v>
      </c>
      <c r="X400" t="s">
        <v>41</v>
      </c>
      <c r="Y400" t="s">
        <v>41</v>
      </c>
      <c r="Z400" t="s">
        <v>43</v>
      </c>
      <c r="AA400">
        <v>1747</v>
      </c>
      <c r="AB400" t="s">
        <v>40</v>
      </c>
      <c r="AC400" t="s">
        <v>617</v>
      </c>
      <c r="AD400" t="s">
        <v>617</v>
      </c>
    </row>
    <row r="401" spans="1:30" x14ac:dyDescent="0.3">
      <c r="A401">
        <v>555624094</v>
      </c>
      <c r="B401">
        <v>555624094</v>
      </c>
      <c r="C401">
        <v>1</v>
      </c>
      <c r="D401" t="s">
        <v>745</v>
      </c>
      <c r="E401" t="s">
        <v>745</v>
      </c>
      <c r="F401" t="s">
        <v>102</v>
      </c>
      <c r="G401" t="s">
        <v>102</v>
      </c>
      <c r="H401" t="s">
        <v>39</v>
      </c>
      <c r="I401" t="s">
        <v>40</v>
      </c>
      <c r="J401" t="s">
        <v>41</v>
      </c>
      <c r="K401">
        <v>0</v>
      </c>
      <c r="L401">
        <v>0</v>
      </c>
      <c r="M401">
        <v>0</v>
      </c>
      <c r="N401">
        <v>74.739776001699894</v>
      </c>
      <c r="O401">
        <v>74.247111547896395</v>
      </c>
      <c r="P401" t="s">
        <v>41</v>
      </c>
      <c r="Q401">
        <v>0</v>
      </c>
      <c r="R401" t="s">
        <v>50</v>
      </c>
      <c r="S401">
        <v>1954</v>
      </c>
      <c r="T401" t="s">
        <v>66</v>
      </c>
      <c r="U401" t="s">
        <v>40</v>
      </c>
      <c r="V401" t="s">
        <v>723</v>
      </c>
      <c r="W401" t="s">
        <v>40</v>
      </c>
      <c r="X401" t="s">
        <v>41</v>
      </c>
      <c r="Y401" t="s">
        <v>41</v>
      </c>
      <c r="Z401" t="s">
        <v>43</v>
      </c>
      <c r="AA401">
        <v>1747</v>
      </c>
      <c r="AB401" t="s">
        <v>40</v>
      </c>
      <c r="AC401" t="s">
        <v>617</v>
      </c>
      <c r="AD401" t="s">
        <v>617</v>
      </c>
    </row>
    <row r="402" spans="1:30" x14ac:dyDescent="0.3">
      <c r="A402">
        <v>555697529</v>
      </c>
      <c r="B402">
        <v>555697529</v>
      </c>
      <c r="C402">
        <v>1</v>
      </c>
      <c r="D402" t="s">
        <v>783</v>
      </c>
      <c r="E402" t="s">
        <v>783</v>
      </c>
      <c r="F402" t="s">
        <v>784</v>
      </c>
      <c r="G402" t="s">
        <v>784</v>
      </c>
      <c r="H402" t="s">
        <v>39</v>
      </c>
      <c r="I402" t="s">
        <v>40</v>
      </c>
      <c r="J402" t="s">
        <v>41</v>
      </c>
      <c r="K402">
        <v>0</v>
      </c>
      <c r="L402">
        <v>0</v>
      </c>
      <c r="M402">
        <v>0</v>
      </c>
      <c r="N402">
        <v>327.62999999999897</v>
      </c>
      <c r="O402">
        <v>371.65000078119601</v>
      </c>
      <c r="P402" t="s">
        <v>41</v>
      </c>
      <c r="Q402">
        <v>0</v>
      </c>
      <c r="R402" t="s">
        <v>50</v>
      </c>
      <c r="S402">
        <v>2019</v>
      </c>
      <c r="T402" t="s">
        <v>66</v>
      </c>
      <c r="U402" t="s">
        <v>51</v>
      </c>
      <c r="V402" t="s">
        <v>723</v>
      </c>
      <c r="W402" t="s">
        <v>40</v>
      </c>
      <c r="X402" t="s">
        <v>41</v>
      </c>
      <c r="Y402" t="s">
        <v>41</v>
      </c>
      <c r="Z402" t="s">
        <v>43</v>
      </c>
      <c r="AA402">
        <v>1747</v>
      </c>
      <c r="AB402" t="s">
        <v>40</v>
      </c>
      <c r="AC402" t="s">
        <v>617</v>
      </c>
      <c r="AD402" t="s">
        <v>617</v>
      </c>
    </row>
    <row r="403" spans="1:30" x14ac:dyDescent="0.3">
      <c r="A403">
        <v>555705341</v>
      </c>
      <c r="B403">
        <v>555705341</v>
      </c>
      <c r="C403">
        <v>0</v>
      </c>
      <c r="D403" t="s">
        <v>785</v>
      </c>
      <c r="E403" t="s">
        <v>786</v>
      </c>
      <c r="F403" t="s">
        <v>246</v>
      </c>
      <c r="G403" t="s">
        <v>247</v>
      </c>
      <c r="H403" t="s">
        <v>39</v>
      </c>
      <c r="I403" t="s">
        <v>41</v>
      </c>
      <c r="J403" t="s">
        <v>41</v>
      </c>
      <c r="K403">
        <v>0</v>
      </c>
      <c r="L403">
        <v>0</v>
      </c>
      <c r="M403">
        <v>0</v>
      </c>
      <c r="N403">
        <v>63930</v>
      </c>
      <c r="O403">
        <v>88691.767527371296</v>
      </c>
      <c r="P403" t="s">
        <v>41</v>
      </c>
      <c r="Q403">
        <v>0</v>
      </c>
      <c r="R403" t="s">
        <v>50</v>
      </c>
      <c r="S403">
        <v>2008</v>
      </c>
      <c r="T403" t="s">
        <v>66</v>
      </c>
      <c r="U403" t="s">
        <v>51</v>
      </c>
      <c r="V403" t="s">
        <v>787</v>
      </c>
      <c r="W403" t="s">
        <v>788</v>
      </c>
      <c r="X403" t="s">
        <v>250</v>
      </c>
      <c r="Y403" t="s">
        <v>251</v>
      </c>
      <c r="Z403" t="s">
        <v>43</v>
      </c>
      <c r="AA403">
        <v>1989</v>
      </c>
      <c r="AB403" t="s">
        <v>789</v>
      </c>
      <c r="AC403" t="s">
        <v>182</v>
      </c>
      <c r="AD403" t="s">
        <v>182</v>
      </c>
    </row>
    <row r="404" spans="1:30" x14ac:dyDescent="0.3">
      <c r="A404">
        <v>555703810</v>
      </c>
      <c r="B404">
        <v>555703810</v>
      </c>
      <c r="C404">
        <v>1</v>
      </c>
      <c r="D404" t="s">
        <v>790</v>
      </c>
      <c r="E404" t="s">
        <v>791</v>
      </c>
      <c r="F404" t="s">
        <v>149</v>
      </c>
      <c r="G404" t="s">
        <v>55</v>
      </c>
      <c r="H404" t="s">
        <v>39</v>
      </c>
      <c r="I404" t="s">
        <v>74</v>
      </c>
      <c r="J404" t="s">
        <v>41</v>
      </c>
      <c r="K404">
        <v>0</v>
      </c>
      <c r="L404">
        <v>0</v>
      </c>
      <c r="M404">
        <v>0</v>
      </c>
      <c r="N404">
        <v>30</v>
      </c>
      <c r="O404">
        <v>33.2799342129208</v>
      </c>
      <c r="P404" t="s">
        <v>41</v>
      </c>
      <c r="Q404">
        <v>0</v>
      </c>
      <c r="R404" t="s">
        <v>50</v>
      </c>
      <c r="S404">
        <v>1985</v>
      </c>
      <c r="T404" t="s">
        <v>66</v>
      </c>
      <c r="U404" t="s">
        <v>40</v>
      </c>
      <c r="V404" t="s">
        <v>51</v>
      </c>
      <c r="W404" t="s">
        <v>68</v>
      </c>
      <c r="X404" t="s">
        <v>41</v>
      </c>
      <c r="Y404" t="s">
        <v>41</v>
      </c>
      <c r="Z404" t="s">
        <v>43</v>
      </c>
      <c r="AA404">
        <v>1984</v>
      </c>
      <c r="AB404" t="s">
        <v>792</v>
      </c>
      <c r="AC404" t="s">
        <v>256</v>
      </c>
      <c r="AD404" t="s">
        <v>256</v>
      </c>
    </row>
    <row r="405" spans="1:30" x14ac:dyDescent="0.3">
      <c r="A405">
        <v>555703816</v>
      </c>
      <c r="B405">
        <v>555703816</v>
      </c>
      <c r="C405">
        <v>1</v>
      </c>
      <c r="D405" t="s">
        <v>793</v>
      </c>
      <c r="E405" t="s">
        <v>794</v>
      </c>
      <c r="F405" t="s">
        <v>149</v>
      </c>
      <c r="G405" t="s">
        <v>55</v>
      </c>
      <c r="H405" t="s">
        <v>39</v>
      </c>
      <c r="I405" t="s">
        <v>74</v>
      </c>
      <c r="J405" t="s">
        <v>41</v>
      </c>
      <c r="K405">
        <v>0</v>
      </c>
      <c r="L405">
        <v>0</v>
      </c>
      <c r="M405">
        <v>0</v>
      </c>
      <c r="N405">
        <v>498.04</v>
      </c>
      <c r="O405">
        <v>495.07284762868397</v>
      </c>
      <c r="P405" t="s">
        <v>41</v>
      </c>
      <c r="Q405">
        <v>0</v>
      </c>
      <c r="R405" t="s">
        <v>50</v>
      </c>
      <c r="S405">
        <v>2016</v>
      </c>
      <c r="T405" t="s">
        <v>66</v>
      </c>
      <c r="U405" t="s">
        <v>40</v>
      </c>
      <c r="V405" t="s">
        <v>51</v>
      </c>
      <c r="W405" t="s">
        <v>68</v>
      </c>
      <c r="X405" t="s">
        <v>41</v>
      </c>
      <c r="Y405" t="s">
        <v>41</v>
      </c>
      <c r="Z405" t="s">
        <v>43</v>
      </c>
      <c r="AA405">
        <v>1984</v>
      </c>
      <c r="AB405" t="s">
        <v>792</v>
      </c>
      <c r="AC405" t="s">
        <v>256</v>
      </c>
      <c r="AD405" t="s">
        <v>256</v>
      </c>
    </row>
    <row r="406" spans="1:30" x14ac:dyDescent="0.3">
      <c r="A406">
        <v>303675</v>
      </c>
      <c r="B406">
        <v>303675</v>
      </c>
      <c r="C406">
        <v>1</v>
      </c>
      <c r="D406" t="s">
        <v>795</v>
      </c>
      <c r="E406" t="s">
        <v>795</v>
      </c>
      <c r="F406" t="s">
        <v>796</v>
      </c>
      <c r="G406" t="s">
        <v>797</v>
      </c>
      <c r="H406" t="s">
        <v>39</v>
      </c>
      <c r="I406" t="s">
        <v>49</v>
      </c>
      <c r="J406" t="s">
        <v>41</v>
      </c>
      <c r="K406">
        <v>0</v>
      </c>
      <c r="L406">
        <v>0</v>
      </c>
      <c r="M406">
        <v>0</v>
      </c>
      <c r="N406">
        <v>1.89</v>
      </c>
      <c r="O406">
        <v>2716.78246426637</v>
      </c>
      <c r="P406" t="s">
        <v>41</v>
      </c>
      <c r="Q406">
        <v>0</v>
      </c>
      <c r="R406" t="s">
        <v>50</v>
      </c>
      <c r="S406">
        <v>0</v>
      </c>
      <c r="T406" t="s">
        <v>263</v>
      </c>
      <c r="U406" t="s">
        <v>40</v>
      </c>
      <c r="V406" t="s">
        <v>798</v>
      </c>
      <c r="W406" t="s">
        <v>40</v>
      </c>
      <c r="X406" t="s">
        <v>41</v>
      </c>
      <c r="Y406" t="s">
        <v>41</v>
      </c>
      <c r="Z406" t="s">
        <v>43</v>
      </c>
      <c r="AA406">
        <v>1828</v>
      </c>
      <c r="AB406" t="s">
        <v>40</v>
      </c>
      <c r="AC406" t="s">
        <v>799</v>
      </c>
      <c r="AD406" t="s">
        <v>799</v>
      </c>
    </row>
    <row r="407" spans="1:30" x14ac:dyDescent="0.3">
      <c r="A407">
        <v>801</v>
      </c>
      <c r="B407" t="s">
        <v>800</v>
      </c>
      <c r="C407">
        <v>1</v>
      </c>
      <c r="D407" t="s">
        <v>801</v>
      </c>
      <c r="E407" t="s">
        <v>801</v>
      </c>
      <c r="F407" t="s">
        <v>802</v>
      </c>
      <c r="G407" t="s">
        <v>803</v>
      </c>
      <c r="H407" t="s">
        <v>39</v>
      </c>
      <c r="I407" t="s">
        <v>49</v>
      </c>
      <c r="J407" t="s">
        <v>41</v>
      </c>
      <c r="K407">
        <v>0</v>
      </c>
      <c r="L407">
        <v>0</v>
      </c>
      <c r="M407">
        <v>0</v>
      </c>
      <c r="N407">
        <v>0</v>
      </c>
      <c r="O407">
        <v>9446.4367722497409</v>
      </c>
      <c r="P407" t="s">
        <v>41</v>
      </c>
      <c r="Q407">
        <v>0</v>
      </c>
      <c r="R407" t="s">
        <v>50</v>
      </c>
      <c r="S407">
        <v>2010</v>
      </c>
      <c r="T407" t="s">
        <v>282</v>
      </c>
      <c r="U407" t="s">
        <v>51</v>
      </c>
      <c r="V407" t="s">
        <v>798</v>
      </c>
      <c r="W407" t="s">
        <v>40</v>
      </c>
      <c r="X407" t="s">
        <v>41</v>
      </c>
      <c r="Y407" t="s">
        <v>41</v>
      </c>
      <c r="Z407" t="s">
        <v>43</v>
      </c>
      <c r="AA407">
        <v>1828</v>
      </c>
      <c r="AB407" t="s">
        <v>40</v>
      </c>
      <c r="AC407" t="s">
        <v>799</v>
      </c>
      <c r="AD407" t="s">
        <v>799</v>
      </c>
    </row>
    <row r="408" spans="1:30" x14ac:dyDescent="0.3">
      <c r="A408">
        <v>555705847</v>
      </c>
      <c r="B408">
        <v>555705847</v>
      </c>
      <c r="C408">
        <v>1</v>
      </c>
      <c r="D408" t="s">
        <v>804</v>
      </c>
      <c r="E408" t="s">
        <v>804</v>
      </c>
      <c r="F408" t="s">
        <v>805</v>
      </c>
      <c r="G408" t="s">
        <v>805</v>
      </c>
      <c r="H408" t="s">
        <v>39</v>
      </c>
      <c r="I408" t="s">
        <v>40</v>
      </c>
      <c r="J408" t="s">
        <v>41</v>
      </c>
      <c r="K408">
        <v>0</v>
      </c>
      <c r="L408">
        <v>0</v>
      </c>
      <c r="M408">
        <v>0</v>
      </c>
      <c r="N408">
        <v>60.7</v>
      </c>
      <c r="O408">
        <v>82.977891833418099</v>
      </c>
      <c r="P408" t="s">
        <v>41</v>
      </c>
      <c r="Q408">
        <v>0</v>
      </c>
      <c r="R408" t="s">
        <v>50</v>
      </c>
      <c r="S408">
        <v>2020</v>
      </c>
      <c r="T408" t="s">
        <v>40</v>
      </c>
      <c r="U408" t="s">
        <v>40</v>
      </c>
      <c r="V408" t="s">
        <v>40</v>
      </c>
      <c r="W408" t="s">
        <v>40</v>
      </c>
      <c r="X408" t="s">
        <v>41</v>
      </c>
      <c r="Y408" t="s">
        <v>41</v>
      </c>
      <c r="Z408" t="s">
        <v>43</v>
      </c>
      <c r="AA408">
        <v>933</v>
      </c>
      <c r="AB408" t="s">
        <v>40</v>
      </c>
      <c r="AC408" t="s">
        <v>87</v>
      </c>
      <c r="AD408" t="s">
        <v>87</v>
      </c>
    </row>
    <row r="409" spans="1:30" x14ac:dyDescent="0.3">
      <c r="A409">
        <v>555705848</v>
      </c>
      <c r="B409">
        <v>555705848</v>
      </c>
      <c r="C409">
        <v>1</v>
      </c>
      <c r="D409" t="s">
        <v>806</v>
      </c>
      <c r="E409" t="s">
        <v>806</v>
      </c>
      <c r="F409" t="s">
        <v>805</v>
      </c>
      <c r="G409" t="s">
        <v>805</v>
      </c>
      <c r="H409" t="s">
        <v>39</v>
      </c>
      <c r="I409" t="s">
        <v>40</v>
      </c>
      <c r="J409" t="s">
        <v>41</v>
      </c>
      <c r="K409">
        <v>0</v>
      </c>
      <c r="L409">
        <v>0</v>
      </c>
      <c r="M409">
        <v>0</v>
      </c>
      <c r="N409">
        <v>129.5</v>
      </c>
      <c r="O409">
        <v>121.016512823509</v>
      </c>
      <c r="P409" t="s">
        <v>41</v>
      </c>
      <c r="Q409">
        <v>0</v>
      </c>
      <c r="R409" t="s">
        <v>50</v>
      </c>
      <c r="S409">
        <v>2020</v>
      </c>
      <c r="T409" t="s">
        <v>40</v>
      </c>
      <c r="U409" t="s">
        <v>40</v>
      </c>
      <c r="V409" t="s">
        <v>40</v>
      </c>
      <c r="W409" t="s">
        <v>40</v>
      </c>
      <c r="X409" t="s">
        <v>41</v>
      </c>
      <c r="Y409" t="s">
        <v>41</v>
      </c>
      <c r="Z409" t="s">
        <v>43</v>
      </c>
      <c r="AA409">
        <v>933</v>
      </c>
      <c r="AB409" t="s">
        <v>40</v>
      </c>
      <c r="AC409" t="s">
        <v>87</v>
      </c>
      <c r="AD409" t="s">
        <v>87</v>
      </c>
    </row>
    <row r="410" spans="1:30" x14ac:dyDescent="0.3">
      <c r="A410">
        <v>761</v>
      </c>
      <c r="B410" t="s">
        <v>807</v>
      </c>
      <c r="C410">
        <v>1</v>
      </c>
      <c r="D410" t="s">
        <v>808</v>
      </c>
      <c r="E410" t="s">
        <v>808</v>
      </c>
      <c r="F410" t="s">
        <v>123</v>
      </c>
      <c r="G410" t="s">
        <v>123</v>
      </c>
      <c r="H410" t="s">
        <v>39</v>
      </c>
      <c r="I410" t="s">
        <v>124</v>
      </c>
      <c r="J410" t="s">
        <v>41</v>
      </c>
      <c r="K410">
        <v>0</v>
      </c>
      <c r="L410">
        <v>0</v>
      </c>
      <c r="M410">
        <v>0</v>
      </c>
      <c r="N410">
        <v>117</v>
      </c>
      <c r="O410">
        <v>116.312989314521</v>
      </c>
      <c r="P410" t="s">
        <v>41</v>
      </c>
      <c r="Q410">
        <v>0</v>
      </c>
      <c r="R410" t="s">
        <v>50</v>
      </c>
      <c r="S410">
        <v>1946</v>
      </c>
      <c r="T410" t="s">
        <v>66</v>
      </c>
      <c r="U410" t="s">
        <v>51</v>
      </c>
      <c r="V410" t="s">
        <v>204</v>
      </c>
      <c r="W410" t="s">
        <v>40</v>
      </c>
      <c r="X410" t="s">
        <v>41</v>
      </c>
      <c r="Y410" t="s">
        <v>41</v>
      </c>
      <c r="Z410" t="s">
        <v>43</v>
      </c>
      <c r="AA410">
        <v>933</v>
      </c>
      <c r="AB410" t="s">
        <v>40</v>
      </c>
      <c r="AC410" t="s">
        <v>87</v>
      </c>
      <c r="AD410" t="s">
        <v>87</v>
      </c>
    </row>
    <row r="411" spans="1:30" x14ac:dyDescent="0.3">
      <c r="A411">
        <v>866</v>
      </c>
      <c r="B411">
        <v>866</v>
      </c>
      <c r="C411">
        <v>1</v>
      </c>
      <c r="D411" t="s">
        <v>522</v>
      </c>
      <c r="E411" t="s">
        <v>522</v>
      </c>
      <c r="F411" t="s">
        <v>158</v>
      </c>
      <c r="G411" t="s">
        <v>123</v>
      </c>
      <c r="H411" t="s">
        <v>39</v>
      </c>
      <c r="I411" t="s">
        <v>124</v>
      </c>
      <c r="J411" t="s">
        <v>41</v>
      </c>
      <c r="K411">
        <v>1</v>
      </c>
      <c r="L411">
        <v>760</v>
      </c>
      <c r="M411">
        <v>612.72846495574402</v>
      </c>
      <c r="N411">
        <v>760</v>
      </c>
      <c r="O411">
        <v>760.88577120675598</v>
      </c>
      <c r="P411" t="s">
        <v>809</v>
      </c>
      <c r="Q411">
        <v>760</v>
      </c>
      <c r="R411" t="s">
        <v>50</v>
      </c>
      <c r="S411">
        <v>1976</v>
      </c>
      <c r="T411" t="s">
        <v>66</v>
      </c>
      <c r="U411" t="s">
        <v>40</v>
      </c>
      <c r="V411" t="s">
        <v>810</v>
      </c>
      <c r="W411" t="s">
        <v>811</v>
      </c>
      <c r="X411" t="s">
        <v>41</v>
      </c>
      <c r="Y411" t="s">
        <v>41</v>
      </c>
      <c r="Z411" t="s">
        <v>43</v>
      </c>
      <c r="AA411">
        <v>1948</v>
      </c>
      <c r="AB411" t="s">
        <v>508</v>
      </c>
      <c r="AC411" t="s">
        <v>104</v>
      </c>
      <c r="AD411" t="s">
        <v>104</v>
      </c>
    </row>
    <row r="412" spans="1:30" x14ac:dyDescent="0.3">
      <c r="A412">
        <v>303923</v>
      </c>
      <c r="B412">
        <v>303923</v>
      </c>
      <c r="C412">
        <v>1</v>
      </c>
      <c r="D412" t="s">
        <v>812</v>
      </c>
      <c r="E412" t="s">
        <v>812</v>
      </c>
      <c r="F412" t="s">
        <v>102</v>
      </c>
      <c r="G412" t="s">
        <v>102</v>
      </c>
      <c r="H412" t="s">
        <v>39</v>
      </c>
      <c r="I412" t="s">
        <v>40</v>
      </c>
      <c r="J412" t="s">
        <v>41</v>
      </c>
      <c r="K412">
        <v>0</v>
      </c>
      <c r="L412">
        <v>0</v>
      </c>
      <c r="M412">
        <v>0</v>
      </c>
      <c r="N412">
        <v>12.24</v>
      </c>
      <c r="O412">
        <v>45.216058354280399</v>
      </c>
      <c r="P412" t="s">
        <v>41</v>
      </c>
      <c r="Q412">
        <v>0</v>
      </c>
      <c r="R412" t="s">
        <v>50</v>
      </c>
      <c r="S412">
        <v>1914</v>
      </c>
      <c r="T412" t="s">
        <v>40</v>
      </c>
      <c r="U412" t="s">
        <v>40</v>
      </c>
      <c r="V412" t="s">
        <v>40</v>
      </c>
      <c r="W412" t="s">
        <v>40</v>
      </c>
      <c r="X412" t="s">
        <v>41</v>
      </c>
      <c r="Y412" t="s">
        <v>41</v>
      </c>
      <c r="Z412" t="s">
        <v>43</v>
      </c>
      <c r="AA412">
        <v>1806</v>
      </c>
      <c r="AB412" t="s">
        <v>813</v>
      </c>
      <c r="AC412" t="s">
        <v>814</v>
      </c>
      <c r="AD412" t="s">
        <v>814</v>
      </c>
    </row>
    <row r="413" spans="1:30" x14ac:dyDescent="0.3">
      <c r="A413">
        <v>555651500</v>
      </c>
      <c r="B413">
        <v>555651500</v>
      </c>
      <c r="C413">
        <v>1</v>
      </c>
      <c r="D413" t="s">
        <v>815</v>
      </c>
      <c r="E413" t="s">
        <v>816</v>
      </c>
      <c r="F413" t="s">
        <v>817</v>
      </c>
      <c r="G413" t="s">
        <v>818</v>
      </c>
      <c r="H413" t="s">
        <v>39</v>
      </c>
      <c r="I413" t="s">
        <v>49</v>
      </c>
      <c r="J413" t="s">
        <v>41</v>
      </c>
      <c r="K413">
        <v>0</v>
      </c>
      <c r="L413">
        <v>1.7</v>
      </c>
      <c r="M413">
        <v>0</v>
      </c>
      <c r="N413">
        <v>6.5</v>
      </c>
      <c r="O413">
        <v>6.4798198567252001</v>
      </c>
      <c r="P413" t="s">
        <v>41</v>
      </c>
      <c r="Q413">
        <v>0</v>
      </c>
      <c r="R413" t="s">
        <v>50</v>
      </c>
      <c r="S413">
        <v>2019</v>
      </c>
      <c r="T413" t="s">
        <v>819</v>
      </c>
      <c r="U413" t="s">
        <v>51</v>
      </c>
      <c r="V413" t="s">
        <v>820</v>
      </c>
      <c r="W413" t="s">
        <v>40</v>
      </c>
      <c r="X413" t="s">
        <v>41</v>
      </c>
      <c r="Y413" t="s">
        <v>41</v>
      </c>
      <c r="Z413" t="s">
        <v>43</v>
      </c>
      <c r="AA413">
        <v>1948</v>
      </c>
      <c r="AB413" t="s">
        <v>821</v>
      </c>
      <c r="AC413" t="s">
        <v>104</v>
      </c>
      <c r="AD413" t="s">
        <v>104</v>
      </c>
    </row>
    <row r="414" spans="1:30" x14ac:dyDescent="0.3">
      <c r="A414">
        <v>11653</v>
      </c>
      <c r="B414">
        <v>11653</v>
      </c>
      <c r="C414">
        <v>1</v>
      </c>
      <c r="D414" t="s">
        <v>525</v>
      </c>
      <c r="E414" t="s">
        <v>822</v>
      </c>
      <c r="F414" t="s">
        <v>823</v>
      </c>
      <c r="G414" t="s">
        <v>381</v>
      </c>
      <c r="H414" t="s">
        <v>39</v>
      </c>
      <c r="I414" t="s">
        <v>74</v>
      </c>
      <c r="J414" t="s">
        <v>41</v>
      </c>
      <c r="K414">
        <v>0</v>
      </c>
      <c r="L414">
        <v>0</v>
      </c>
      <c r="M414">
        <v>0</v>
      </c>
      <c r="N414">
        <v>7.2</v>
      </c>
      <c r="O414">
        <v>5.3724324101235101</v>
      </c>
      <c r="P414" t="s">
        <v>41</v>
      </c>
      <c r="Q414">
        <v>0</v>
      </c>
      <c r="R414" t="s">
        <v>50</v>
      </c>
      <c r="S414">
        <v>1983</v>
      </c>
      <c r="T414" t="s">
        <v>66</v>
      </c>
      <c r="U414" t="s">
        <v>51</v>
      </c>
      <c r="V414" t="s">
        <v>810</v>
      </c>
      <c r="W414" t="s">
        <v>824</v>
      </c>
      <c r="X414" t="s">
        <v>41</v>
      </c>
      <c r="Y414" t="s">
        <v>41</v>
      </c>
      <c r="Z414" t="s">
        <v>43</v>
      </c>
      <c r="AA414">
        <v>1948</v>
      </c>
      <c r="AB414" t="s">
        <v>524</v>
      </c>
      <c r="AC414" t="s">
        <v>104</v>
      </c>
      <c r="AD414" t="s">
        <v>104</v>
      </c>
    </row>
    <row r="415" spans="1:30" x14ac:dyDescent="0.3">
      <c r="A415">
        <v>555651503</v>
      </c>
      <c r="B415">
        <v>555651503</v>
      </c>
      <c r="C415">
        <v>1</v>
      </c>
      <c r="D415" t="s">
        <v>825</v>
      </c>
      <c r="E415" t="s">
        <v>826</v>
      </c>
      <c r="F415" t="s">
        <v>827</v>
      </c>
      <c r="G415" t="s">
        <v>78</v>
      </c>
      <c r="H415" t="s">
        <v>39</v>
      </c>
      <c r="I415" t="s">
        <v>49</v>
      </c>
      <c r="J415" t="s">
        <v>41</v>
      </c>
      <c r="K415">
        <v>1</v>
      </c>
      <c r="L415">
        <v>76.379999999999896</v>
      </c>
      <c r="M415">
        <v>171.355620654435</v>
      </c>
      <c r="N415">
        <v>660.32</v>
      </c>
      <c r="O415">
        <v>660.57916826260305</v>
      </c>
      <c r="P415" t="s">
        <v>40</v>
      </c>
      <c r="Q415">
        <v>0</v>
      </c>
      <c r="R415" t="s">
        <v>50</v>
      </c>
      <c r="S415">
        <v>2015</v>
      </c>
      <c r="T415" t="s">
        <v>819</v>
      </c>
      <c r="U415" t="s">
        <v>51</v>
      </c>
      <c r="V415" t="s">
        <v>820</v>
      </c>
      <c r="W415" t="s">
        <v>828</v>
      </c>
      <c r="X415" t="s">
        <v>41</v>
      </c>
      <c r="Y415" t="s">
        <v>41</v>
      </c>
      <c r="Z415" t="s">
        <v>43</v>
      </c>
      <c r="AA415">
        <v>1948</v>
      </c>
      <c r="AB415" t="s">
        <v>532</v>
      </c>
      <c r="AC415" t="s">
        <v>104</v>
      </c>
      <c r="AD415" t="s">
        <v>104</v>
      </c>
    </row>
    <row r="416" spans="1:30" x14ac:dyDescent="0.3">
      <c r="A416">
        <v>555705171</v>
      </c>
      <c r="B416">
        <v>555705171</v>
      </c>
      <c r="C416">
        <v>1</v>
      </c>
      <c r="D416" t="s">
        <v>829</v>
      </c>
      <c r="E416" t="s">
        <v>830</v>
      </c>
      <c r="F416" t="s">
        <v>827</v>
      </c>
      <c r="G416" t="s">
        <v>78</v>
      </c>
      <c r="H416" t="s">
        <v>39</v>
      </c>
      <c r="I416" t="s">
        <v>49</v>
      </c>
      <c r="J416" t="s">
        <v>41</v>
      </c>
      <c r="K416">
        <v>0</v>
      </c>
      <c r="L416">
        <v>15.1999999999999</v>
      </c>
      <c r="M416">
        <v>80.905229577140702</v>
      </c>
      <c r="N416">
        <v>838.52999999999895</v>
      </c>
      <c r="O416">
        <v>834.56028296692205</v>
      </c>
      <c r="P416" t="s">
        <v>41</v>
      </c>
      <c r="Q416">
        <v>0</v>
      </c>
      <c r="R416" t="s">
        <v>50</v>
      </c>
      <c r="S416">
        <v>2020</v>
      </c>
      <c r="T416" t="s">
        <v>819</v>
      </c>
      <c r="U416" t="s">
        <v>51</v>
      </c>
      <c r="V416" t="s">
        <v>820</v>
      </c>
      <c r="W416" t="s">
        <v>40</v>
      </c>
      <c r="X416" t="s">
        <v>41</v>
      </c>
      <c r="Y416" t="s">
        <v>41</v>
      </c>
      <c r="Z416" t="s">
        <v>43</v>
      </c>
      <c r="AA416">
        <v>1948</v>
      </c>
      <c r="AB416" t="s">
        <v>532</v>
      </c>
      <c r="AC416" t="s">
        <v>104</v>
      </c>
      <c r="AD416" t="s">
        <v>104</v>
      </c>
    </row>
    <row r="417" spans="1:30" x14ac:dyDescent="0.3">
      <c r="A417">
        <v>5178</v>
      </c>
      <c r="B417">
        <v>5178</v>
      </c>
      <c r="C417">
        <v>1</v>
      </c>
      <c r="D417" t="s">
        <v>831</v>
      </c>
      <c r="E417" t="s">
        <v>831</v>
      </c>
      <c r="F417" t="s">
        <v>381</v>
      </c>
      <c r="G417" t="s">
        <v>381</v>
      </c>
      <c r="H417" t="s">
        <v>39</v>
      </c>
      <c r="I417" t="s">
        <v>74</v>
      </c>
      <c r="J417" t="s">
        <v>41</v>
      </c>
      <c r="K417">
        <v>0</v>
      </c>
      <c r="L417">
        <v>0</v>
      </c>
      <c r="M417">
        <v>0</v>
      </c>
      <c r="N417">
        <v>488.98</v>
      </c>
      <c r="O417">
        <v>486.20891683782401</v>
      </c>
      <c r="P417" t="s">
        <v>41</v>
      </c>
      <c r="Q417">
        <v>0</v>
      </c>
      <c r="R417" t="s">
        <v>50</v>
      </c>
      <c r="S417">
        <v>0</v>
      </c>
      <c r="T417" t="s">
        <v>66</v>
      </c>
      <c r="U417" t="s">
        <v>51</v>
      </c>
      <c r="V417" t="s">
        <v>40</v>
      </c>
      <c r="W417" t="s">
        <v>40</v>
      </c>
      <c r="X417" t="s">
        <v>41</v>
      </c>
      <c r="Y417" t="s">
        <v>41</v>
      </c>
      <c r="Z417" t="s">
        <v>40</v>
      </c>
      <c r="AA417">
        <v>711</v>
      </c>
      <c r="AB417" t="s">
        <v>524</v>
      </c>
      <c r="AC417" t="s">
        <v>104</v>
      </c>
      <c r="AD417" t="s">
        <v>104</v>
      </c>
    </row>
    <row r="418" spans="1:30" x14ac:dyDescent="0.3">
      <c r="A418">
        <v>555721605</v>
      </c>
      <c r="B418">
        <v>555721605</v>
      </c>
      <c r="C418">
        <v>1</v>
      </c>
      <c r="D418" t="s">
        <v>832</v>
      </c>
      <c r="E418" t="s">
        <v>832</v>
      </c>
      <c r="F418" t="s">
        <v>784</v>
      </c>
      <c r="G418" t="s">
        <v>784</v>
      </c>
      <c r="H418" t="s">
        <v>39</v>
      </c>
      <c r="I418" t="s">
        <v>40</v>
      </c>
      <c r="J418" t="s">
        <v>41</v>
      </c>
      <c r="K418">
        <v>0</v>
      </c>
      <c r="L418">
        <v>0</v>
      </c>
      <c r="M418">
        <v>0</v>
      </c>
      <c r="N418">
        <v>89.653000000000006</v>
      </c>
      <c r="O418">
        <v>91.244622214678301</v>
      </c>
      <c r="P418" t="s">
        <v>41</v>
      </c>
      <c r="Q418">
        <v>0</v>
      </c>
      <c r="R418" t="s">
        <v>50</v>
      </c>
      <c r="S418">
        <v>2021</v>
      </c>
      <c r="T418" t="s">
        <v>66</v>
      </c>
      <c r="U418" t="s">
        <v>40</v>
      </c>
      <c r="V418" t="s">
        <v>723</v>
      </c>
      <c r="W418" t="s">
        <v>40</v>
      </c>
      <c r="X418" t="s">
        <v>41</v>
      </c>
      <c r="Y418" t="s">
        <v>41</v>
      </c>
      <c r="Z418" t="s">
        <v>43</v>
      </c>
      <c r="AA418">
        <v>1747</v>
      </c>
      <c r="AB418" t="s">
        <v>40</v>
      </c>
      <c r="AC418" t="s">
        <v>617</v>
      </c>
      <c r="AD418" t="s">
        <v>617</v>
      </c>
    </row>
    <row r="419" spans="1:30" x14ac:dyDescent="0.3">
      <c r="A419">
        <v>555721690</v>
      </c>
      <c r="B419">
        <v>555721690</v>
      </c>
      <c r="C419">
        <v>1</v>
      </c>
      <c r="D419" t="s">
        <v>833</v>
      </c>
      <c r="E419" t="s">
        <v>833</v>
      </c>
      <c r="F419" t="s">
        <v>834</v>
      </c>
      <c r="G419" t="s">
        <v>834</v>
      </c>
      <c r="H419" t="s">
        <v>39</v>
      </c>
      <c r="I419" t="s">
        <v>131</v>
      </c>
      <c r="J419" t="s">
        <v>41</v>
      </c>
      <c r="K419">
        <v>0</v>
      </c>
      <c r="L419">
        <v>0</v>
      </c>
      <c r="M419">
        <v>0</v>
      </c>
      <c r="N419">
        <v>264.36380000000003</v>
      </c>
      <c r="O419">
        <v>264.35781331943502</v>
      </c>
      <c r="P419" t="s">
        <v>41</v>
      </c>
      <c r="Q419">
        <v>0</v>
      </c>
      <c r="R419" t="s">
        <v>50</v>
      </c>
      <c r="S419">
        <v>2019</v>
      </c>
      <c r="T419" t="s">
        <v>630</v>
      </c>
      <c r="U419" t="s">
        <v>211</v>
      </c>
      <c r="V419" t="s">
        <v>835</v>
      </c>
      <c r="W419" t="s">
        <v>836</v>
      </c>
      <c r="X419" t="s">
        <v>41</v>
      </c>
      <c r="Y419" t="s">
        <v>41</v>
      </c>
      <c r="Z419" t="s">
        <v>43</v>
      </c>
      <c r="AA419">
        <v>2025</v>
      </c>
      <c r="AB419" t="s">
        <v>40</v>
      </c>
      <c r="AC419" t="s">
        <v>617</v>
      </c>
      <c r="AD419" t="s">
        <v>617</v>
      </c>
    </row>
    <row r="420" spans="1:30" x14ac:dyDescent="0.3">
      <c r="A420">
        <v>555721689</v>
      </c>
      <c r="B420">
        <v>555721689</v>
      </c>
      <c r="C420">
        <v>1</v>
      </c>
      <c r="D420" t="s">
        <v>837</v>
      </c>
      <c r="E420" t="s">
        <v>837</v>
      </c>
      <c r="F420" t="s">
        <v>834</v>
      </c>
      <c r="G420" t="s">
        <v>834</v>
      </c>
      <c r="H420" t="s">
        <v>39</v>
      </c>
      <c r="I420" t="s">
        <v>131</v>
      </c>
      <c r="J420" t="s">
        <v>41</v>
      </c>
      <c r="K420">
        <v>0</v>
      </c>
      <c r="L420">
        <v>0</v>
      </c>
      <c r="M420">
        <v>0</v>
      </c>
      <c r="N420">
        <v>15.6031999999999</v>
      </c>
      <c r="O420">
        <v>15.603490430533601</v>
      </c>
      <c r="P420" t="s">
        <v>41</v>
      </c>
      <c r="Q420">
        <v>0</v>
      </c>
      <c r="R420" t="s">
        <v>50</v>
      </c>
      <c r="S420">
        <v>2019</v>
      </c>
      <c r="T420" t="s">
        <v>630</v>
      </c>
      <c r="U420" t="s">
        <v>211</v>
      </c>
      <c r="V420" t="s">
        <v>835</v>
      </c>
      <c r="W420" t="s">
        <v>836</v>
      </c>
      <c r="X420" t="s">
        <v>41</v>
      </c>
      <c r="Y420" t="s">
        <v>41</v>
      </c>
      <c r="Z420" t="s">
        <v>43</v>
      </c>
      <c r="AA420">
        <v>2025</v>
      </c>
      <c r="AB420" t="s">
        <v>40</v>
      </c>
      <c r="AC420" t="s">
        <v>617</v>
      </c>
      <c r="AD420" t="s">
        <v>617</v>
      </c>
    </row>
    <row r="421" spans="1:30" x14ac:dyDescent="0.3">
      <c r="A421">
        <v>1104</v>
      </c>
      <c r="B421">
        <v>1104</v>
      </c>
      <c r="C421">
        <v>1</v>
      </c>
      <c r="D421" t="s">
        <v>838</v>
      </c>
      <c r="E421" t="s">
        <v>838</v>
      </c>
      <c r="F421" t="s">
        <v>123</v>
      </c>
      <c r="G421" t="s">
        <v>123</v>
      </c>
      <c r="H421" t="s">
        <v>39</v>
      </c>
      <c r="I421" t="s">
        <v>124</v>
      </c>
      <c r="J421" t="s">
        <v>41</v>
      </c>
      <c r="K421">
        <v>0</v>
      </c>
      <c r="L421">
        <v>0</v>
      </c>
      <c r="M421">
        <v>0</v>
      </c>
      <c r="N421">
        <v>5053</v>
      </c>
      <c r="O421">
        <v>4922.4257625762002</v>
      </c>
      <c r="P421" t="s">
        <v>41</v>
      </c>
      <c r="Q421">
        <v>0</v>
      </c>
      <c r="R421" t="s">
        <v>50</v>
      </c>
      <c r="S421">
        <v>1975</v>
      </c>
      <c r="T421" t="s">
        <v>40</v>
      </c>
      <c r="U421" t="s">
        <v>40</v>
      </c>
      <c r="V421" t="s">
        <v>40</v>
      </c>
      <c r="W421" t="s">
        <v>40</v>
      </c>
      <c r="X421" t="s">
        <v>41</v>
      </c>
      <c r="Y421" t="s">
        <v>41</v>
      </c>
      <c r="Z421" t="s">
        <v>43</v>
      </c>
      <c r="AA421">
        <v>1829</v>
      </c>
      <c r="AB421" t="s">
        <v>839</v>
      </c>
      <c r="AC421" t="s">
        <v>840</v>
      </c>
      <c r="AD421" t="s">
        <v>840</v>
      </c>
    </row>
    <row r="422" spans="1:30" x14ac:dyDescent="0.3">
      <c r="A422">
        <v>303740</v>
      </c>
      <c r="B422">
        <v>303740</v>
      </c>
      <c r="C422">
        <v>1</v>
      </c>
      <c r="D422" t="s">
        <v>841</v>
      </c>
      <c r="E422" t="s">
        <v>841</v>
      </c>
      <c r="F422" t="s">
        <v>629</v>
      </c>
      <c r="G422" t="s">
        <v>629</v>
      </c>
      <c r="H422" t="s">
        <v>39</v>
      </c>
      <c r="I422" t="s">
        <v>40</v>
      </c>
      <c r="J422" t="s">
        <v>41</v>
      </c>
      <c r="K422">
        <v>0</v>
      </c>
      <c r="L422">
        <v>0</v>
      </c>
      <c r="M422">
        <v>0</v>
      </c>
      <c r="N422">
        <v>1.6117729999999999</v>
      </c>
      <c r="O422">
        <v>416.99325842176501</v>
      </c>
      <c r="P422" t="s">
        <v>41</v>
      </c>
      <c r="Q422">
        <v>0</v>
      </c>
      <c r="R422" t="s">
        <v>50</v>
      </c>
      <c r="S422">
        <v>2002</v>
      </c>
      <c r="T422" t="s">
        <v>40</v>
      </c>
      <c r="U422" t="s">
        <v>40</v>
      </c>
      <c r="V422" t="s">
        <v>40</v>
      </c>
      <c r="W422" t="s">
        <v>40</v>
      </c>
      <c r="X422" t="s">
        <v>41</v>
      </c>
      <c r="Y422" t="s">
        <v>41</v>
      </c>
      <c r="Z422" t="s">
        <v>43</v>
      </c>
      <c r="AA422">
        <v>1829</v>
      </c>
      <c r="AB422" t="s">
        <v>839</v>
      </c>
      <c r="AC422" t="s">
        <v>840</v>
      </c>
      <c r="AD422" t="s">
        <v>840</v>
      </c>
    </row>
    <row r="423" spans="1:30" x14ac:dyDescent="0.3">
      <c r="A423">
        <v>555756498</v>
      </c>
      <c r="B423">
        <v>555756498</v>
      </c>
      <c r="C423">
        <v>1</v>
      </c>
      <c r="D423" t="s">
        <v>842</v>
      </c>
      <c r="E423" t="s">
        <v>842</v>
      </c>
      <c r="F423" t="s">
        <v>123</v>
      </c>
      <c r="G423" t="s">
        <v>123</v>
      </c>
      <c r="H423" t="s">
        <v>39</v>
      </c>
      <c r="I423" t="s">
        <v>40</v>
      </c>
      <c r="J423" t="s">
        <v>41</v>
      </c>
      <c r="K423">
        <v>0</v>
      </c>
      <c r="L423">
        <v>0</v>
      </c>
      <c r="M423">
        <v>0</v>
      </c>
      <c r="N423">
        <v>3865</v>
      </c>
      <c r="O423">
        <v>3866.81274152899</v>
      </c>
      <c r="P423" t="s">
        <v>41</v>
      </c>
      <c r="Q423">
        <v>0</v>
      </c>
      <c r="R423" t="s">
        <v>50</v>
      </c>
      <c r="S423">
        <v>2019</v>
      </c>
      <c r="T423" t="s">
        <v>66</v>
      </c>
      <c r="U423" t="s">
        <v>51</v>
      </c>
      <c r="V423" t="s">
        <v>616</v>
      </c>
      <c r="W423" t="s">
        <v>40</v>
      </c>
      <c r="X423" t="s">
        <v>41</v>
      </c>
      <c r="Y423" t="s">
        <v>41</v>
      </c>
      <c r="Z423" t="s">
        <v>43</v>
      </c>
      <c r="AA423">
        <v>1744</v>
      </c>
      <c r="AB423" t="s">
        <v>40</v>
      </c>
      <c r="AC423" t="s">
        <v>617</v>
      </c>
      <c r="AD423" t="s">
        <v>617</v>
      </c>
    </row>
    <row r="424" spans="1:30" x14ac:dyDescent="0.3">
      <c r="A424">
        <v>555756499</v>
      </c>
      <c r="B424">
        <v>555756499</v>
      </c>
      <c r="C424">
        <v>1</v>
      </c>
      <c r="D424" t="s">
        <v>843</v>
      </c>
      <c r="E424" t="s">
        <v>843</v>
      </c>
      <c r="F424" t="s">
        <v>123</v>
      </c>
      <c r="G424" t="s">
        <v>123</v>
      </c>
      <c r="H424" t="s">
        <v>39</v>
      </c>
      <c r="I424" t="s">
        <v>40</v>
      </c>
      <c r="J424" t="s">
        <v>41</v>
      </c>
      <c r="K424">
        <v>0</v>
      </c>
      <c r="L424">
        <v>0</v>
      </c>
      <c r="M424">
        <v>0</v>
      </c>
      <c r="N424">
        <v>31044</v>
      </c>
      <c r="O424">
        <v>30910.8326012998</v>
      </c>
      <c r="P424" t="s">
        <v>41</v>
      </c>
      <c r="Q424">
        <v>0</v>
      </c>
      <c r="R424" t="s">
        <v>50</v>
      </c>
      <c r="S424">
        <v>2019</v>
      </c>
      <c r="T424" t="s">
        <v>66</v>
      </c>
      <c r="U424" t="s">
        <v>51</v>
      </c>
      <c r="V424" t="s">
        <v>616</v>
      </c>
      <c r="W424" t="s">
        <v>40</v>
      </c>
      <c r="X424" t="s">
        <v>41</v>
      </c>
      <c r="Y424" t="s">
        <v>41</v>
      </c>
      <c r="Z424" t="s">
        <v>43</v>
      </c>
      <c r="AA424">
        <v>1744</v>
      </c>
      <c r="AB424" t="s">
        <v>40</v>
      </c>
      <c r="AC424" t="s">
        <v>617</v>
      </c>
      <c r="AD424" t="s">
        <v>617</v>
      </c>
    </row>
    <row r="425" spans="1:30" x14ac:dyDescent="0.3">
      <c r="A425">
        <v>555756502</v>
      </c>
      <c r="B425">
        <v>555756502</v>
      </c>
      <c r="C425">
        <v>1</v>
      </c>
      <c r="D425" t="s">
        <v>844</v>
      </c>
      <c r="E425" t="s">
        <v>844</v>
      </c>
      <c r="F425" t="s">
        <v>123</v>
      </c>
      <c r="G425" t="s">
        <v>123</v>
      </c>
      <c r="H425" t="s">
        <v>39</v>
      </c>
      <c r="I425" t="s">
        <v>40</v>
      </c>
      <c r="J425" t="s">
        <v>41</v>
      </c>
      <c r="K425">
        <v>0</v>
      </c>
      <c r="L425">
        <v>0</v>
      </c>
      <c r="M425">
        <v>0</v>
      </c>
      <c r="N425">
        <v>4707</v>
      </c>
      <c r="O425">
        <v>4706.2765857718896</v>
      </c>
      <c r="P425" t="s">
        <v>41</v>
      </c>
      <c r="Q425">
        <v>0</v>
      </c>
      <c r="R425" t="s">
        <v>50</v>
      </c>
      <c r="S425">
        <v>2019</v>
      </c>
      <c r="T425" t="s">
        <v>66</v>
      </c>
      <c r="U425" t="s">
        <v>51</v>
      </c>
      <c r="V425" t="s">
        <v>616</v>
      </c>
      <c r="W425" t="s">
        <v>40</v>
      </c>
      <c r="X425" t="s">
        <v>41</v>
      </c>
      <c r="Y425" t="s">
        <v>41</v>
      </c>
      <c r="Z425" t="s">
        <v>43</v>
      </c>
      <c r="AA425">
        <v>1744</v>
      </c>
      <c r="AB425" t="s">
        <v>40</v>
      </c>
      <c r="AC425" t="s">
        <v>617</v>
      </c>
      <c r="AD425" t="s">
        <v>617</v>
      </c>
    </row>
    <row r="426" spans="1:30" x14ac:dyDescent="0.3">
      <c r="A426">
        <v>921</v>
      </c>
      <c r="B426">
        <v>921</v>
      </c>
      <c r="C426">
        <v>1</v>
      </c>
      <c r="D426" t="s">
        <v>845</v>
      </c>
      <c r="E426" t="s">
        <v>845</v>
      </c>
      <c r="F426" t="s">
        <v>123</v>
      </c>
      <c r="G426" t="s">
        <v>123</v>
      </c>
      <c r="H426" t="s">
        <v>39</v>
      </c>
      <c r="I426" t="s">
        <v>124</v>
      </c>
      <c r="J426" t="s">
        <v>41</v>
      </c>
      <c r="K426">
        <v>0</v>
      </c>
      <c r="L426">
        <v>0</v>
      </c>
      <c r="M426">
        <v>0</v>
      </c>
      <c r="N426">
        <v>4207</v>
      </c>
      <c r="O426">
        <v>4206.9192537711197</v>
      </c>
      <c r="P426" t="s">
        <v>41</v>
      </c>
      <c r="Q426">
        <v>0</v>
      </c>
      <c r="R426" t="s">
        <v>50</v>
      </c>
      <c r="S426">
        <v>1974</v>
      </c>
      <c r="T426" t="s">
        <v>66</v>
      </c>
      <c r="U426" t="s">
        <v>51</v>
      </c>
      <c r="V426" t="s">
        <v>616</v>
      </c>
      <c r="W426" t="s">
        <v>40</v>
      </c>
      <c r="X426" t="s">
        <v>41</v>
      </c>
      <c r="Y426" t="s">
        <v>41</v>
      </c>
      <c r="Z426" t="s">
        <v>43</v>
      </c>
      <c r="AA426">
        <v>1744</v>
      </c>
      <c r="AB426" t="s">
        <v>749</v>
      </c>
      <c r="AC426" t="s">
        <v>617</v>
      </c>
      <c r="AD426" t="s">
        <v>617</v>
      </c>
    </row>
    <row r="427" spans="1:30" x14ac:dyDescent="0.3">
      <c r="A427">
        <v>7434</v>
      </c>
      <c r="B427">
        <v>7434</v>
      </c>
      <c r="C427">
        <v>1</v>
      </c>
      <c r="D427" t="s">
        <v>846</v>
      </c>
      <c r="E427" t="s">
        <v>846</v>
      </c>
      <c r="F427" t="s">
        <v>123</v>
      </c>
      <c r="G427" t="s">
        <v>123</v>
      </c>
      <c r="H427" t="s">
        <v>39</v>
      </c>
      <c r="I427" t="s">
        <v>40</v>
      </c>
      <c r="J427" t="s">
        <v>41</v>
      </c>
      <c r="K427">
        <v>0</v>
      </c>
      <c r="L427">
        <v>70</v>
      </c>
      <c r="M427">
        <v>77.270617160345495</v>
      </c>
      <c r="N427">
        <v>1153</v>
      </c>
      <c r="O427">
        <v>1142.28684460867</v>
      </c>
      <c r="P427" t="s">
        <v>41</v>
      </c>
      <c r="Q427">
        <v>0</v>
      </c>
      <c r="R427" t="s">
        <v>50</v>
      </c>
      <c r="S427">
        <v>1969</v>
      </c>
      <c r="T427" t="s">
        <v>66</v>
      </c>
      <c r="U427" t="s">
        <v>51</v>
      </c>
      <c r="V427" t="s">
        <v>616</v>
      </c>
      <c r="W427" t="s">
        <v>40</v>
      </c>
      <c r="X427" t="s">
        <v>41</v>
      </c>
      <c r="Y427" t="s">
        <v>41</v>
      </c>
      <c r="Z427" t="s">
        <v>43</v>
      </c>
      <c r="AA427">
        <v>1744</v>
      </c>
      <c r="AB427" t="s">
        <v>847</v>
      </c>
      <c r="AC427" t="s">
        <v>617</v>
      </c>
      <c r="AD427" t="s">
        <v>617</v>
      </c>
    </row>
    <row r="428" spans="1:30" x14ac:dyDescent="0.3">
      <c r="A428">
        <v>19297</v>
      </c>
      <c r="B428">
        <v>19297</v>
      </c>
      <c r="C428">
        <v>1</v>
      </c>
      <c r="D428" t="s">
        <v>848</v>
      </c>
      <c r="E428" t="s">
        <v>848</v>
      </c>
      <c r="F428" t="s">
        <v>123</v>
      </c>
      <c r="G428" t="s">
        <v>123</v>
      </c>
      <c r="H428" t="s">
        <v>39</v>
      </c>
      <c r="I428" t="s">
        <v>124</v>
      </c>
      <c r="J428" t="s">
        <v>41</v>
      </c>
      <c r="K428">
        <v>0</v>
      </c>
      <c r="L428">
        <v>0</v>
      </c>
      <c r="M428">
        <v>0</v>
      </c>
      <c r="N428">
        <v>1913</v>
      </c>
      <c r="O428">
        <v>1906.57622566341</v>
      </c>
      <c r="P428" t="s">
        <v>41</v>
      </c>
      <c r="Q428">
        <v>0</v>
      </c>
      <c r="R428" t="s">
        <v>50</v>
      </c>
      <c r="S428">
        <v>1992</v>
      </c>
      <c r="T428" t="s">
        <v>66</v>
      </c>
      <c r="U428" t="s">
        <v>51</v>
      </c>
      <c r="V428" t="s">
        <v>616</v>
      </c>
      <c r="W428" t="s">
        <v>40</v>
      </c>
      <c r="X428" t="s">
        <v>41</v>
      </c>
      <c r="Y428" t="s">
        <v>41</v>
      </c>
      <c r="Z428" t="s">
        <v>43</v>
      </c>
      <c r="AA428">
        <v>1744</v>
      </c>
      <c r="AB428" t="s">
        <v>40</v>
      </c>
      <c r="AC428" t="s">
        <v>617</v>
      </c>
      <c r="AD428" t="s">
        <v>617</v>
      </c>
    </row>
    <row r="429" spans="1:30" x14ac:dyDescent="0.3">
      <c r="A429">
        <v>919</v>
      </c>
      <c r="B429">
        <v>919</v>
      </c>
      <c r="C429">
        <v>1</v>
      </c>
      <c r="D429" t="s">
        <v>849</v>
      </c>
      <c r="E429" t="s">
        <v>849</v>
      </c>
      <c r="F429" t="s">
        <v>123</v>
      </c>
      <c r="G429" t="s">
        <v>123</v>
      </c>
      <c r="H429" t="s">
        <v>39</v>
      </c>
      <c r="I429" t="s">
        <v>124</v>
      </c>
      <c r="J429" t="s">
        <v>41</v>
      </c>
      <c r="K429">
        <v>0</v>
      </c>
      <c r="L429">
        <v>0</v>
      </c>
      <c r="M429">
        <v>0</v>
      </c>
      <c r="N429">
        <v>3368</v>
      </c>
      <c r="O429">
        <v>3352.56863337716</v>
      </c>
      <c r="P429" t="s">
        <v>41</v>
      </c>
      <c r="Q429">
        <v>0</v>
      </c>
      <c r="R429" t="s">
        <v>50</v>
      </c>
      <c r="S429">
        <v>1964</v>
      </c>
      <c r="T429" t="s">
        <v>66</v>
      </c>
      <c r="U429" t="s">
        <v>51</v>
      </c>
      <c r="V429" t="s">
        <v>616</v>
      </c>
      <c r="W429" t="s">
        <v>40</v>
      </c>
      <c r="X429" t="s">
        <v>41</v>
      </c>
      <c r="Y429" t="s">
        <v>41</v>
      </c>
      <c r="Z429" t="s">
        <v>43</v>
      </c>
      <c r="AA429">
        <v>1744</v>
      </c>
      <c r="AB429" t="s">
        <v>643</v>
      </c>
      <c r="AC429" t="s">
        <v>617</v>
      </c>
      <c r="AD429" t="s">
        <v>617</v>
      </c>
    </row>
    <row r="430" spans="1:30" x14ac:dyDescent="0.3">
      <c r="A430">
        <v>17713</v>
      </c>
      <c r="B430">
        <v>17713</v>
      </c>
      <c r="C430">
        <v>1</v>
      </c>
      <c r="D430" t="s">
        <v>850</v>
      </c>
      <c r="E430" t="s">
        <v>850</v>
      </c>
      <c r="F430" t="s">
        <v>851</v>
      </c>
      <c r="G430" t="s">
        <v>116</v>
      </c>
      <c r="H430" t="s">
        <v>82</v>
      </c>
      <c r="I430" t="s">
        <v>40</v>
      </c>
      <c r="J430" t="s">
        <v>852</v>
      </c>
      <c r="K430">
        <v>0</v>
      </c>
      <c r="L430">
        <v>0</v>
      </c>
      <c r="M430">
        <v>21.598138010171802</v>
      </c>
      <c r="N430">
        <v>0</v>
      </c>
      <c r="O430">
        <v>263.08966547513103</v>
      </c>
      <c r="P430" t="s">
        <v>41</v>
      </c>
      <c r="Q430">
        <v>0</v>
      </c>
      <c r="R430" t="s">
        <v>50</v>
      </c>
      <c r="S430">
        <v>1980</v>
      </c>
      <c r="T430" t="s">
        <v>66</v>
      </c>
      <c r="U430" t="s">
        <v>40</v>
      </c>
      <c r="V430" t="s">
        <v>408</v>
      </c>
      <c r="W430" t="s">
        <v>409</v>
      </c>
      <c r="X430" t="s">
        <v>41</v>
      </c>
      <c r="Y430" t="s">
        <v>41</v>
      </c>
      <c r="Z430" t="s">
        <v>43</v>
      </c>
      <c r="AA430">
        <v>1779</v>
      </c>
      <c r="AB430" t="s">
        <v>853</v>
      </c>
      <c r="AC430" t="s">
        <v>412</v>
      </c>
      <c r="AD430" t="s">
        <v>412</v>
      </c>
    </row>
    <row r="431" spans="1:30" x14ac:dyDescent="0.3">
      <c r="A431">
        <v>555542497</v>
      </c>
      <c r="B431">
        <v>555542497</v>
      </c>
      <c r="C431">
        <v>1</v>
      </c>
      <c r="D431" t="s">
        <v>854</v>
      </c>
      <c r="E431" t="s">
        <v>854</v>
      </c>
      <c r="F431" t="s">
        <v>158</v>
      </c>
      <c r="G431" t="s">
        <v>123</v>
      </c>
      <c r="H431" t="s">
        <v>39</v>
      </c>
      <c r="I431" t="s">
        <v>124</v>
      </c>
      <c r="J431" t="s">
        <v>41</v>
      </c>
      <c r="K431">
        <v>0</v>
      </c>
      <c r="L431">
        <v>0</v>
      </c>
      <c r="M431">
        <v>109.845082983723</v>
      </c>
      <c r="N431">
        <v>0</v>
      </c>
      <c r="O431">
        <v>1654.9646500608801</v>
      </c>
      <c r="P431" t="s">
        <v>41</v>
      </c>
      <c r="Q431">
        <v>0</v>
      </c>
      <c r="R431" t="s">
        <v>50</v>
      </c>
      <c r="S431">
        <v>2006</v>
      </c>
      <c r="T431" t="s">
        <v>66</v>
      </c>
      <c r="U431" t="s">
        <v>40</v>
      </c>
      <c r="V431" t="s">
        <v>408</v>
      </c>
      <c r="W431" t="s">
        <v>185</v>
      </c>
      <c r="X431" t="s">
        <v>41</v>
      </c>
      <c r="Y431" t="s">
        <v>41</v>
      </c>
      <c r="Z431" t="s">
        <v>43</v>
      </c>
      <c r="AA431">
        <v>1779</v>
      </c>
      <c r="AB431" t="s">
        <v>853</v>
      </c>
      <c r="AC431" t="s">
        <v>412</v>
      </c>
      <c r="AD431" t="s">
        <v>412</v>
      </c>
    </row>
    <row r="432" spans="1:30" x14ac:dyDescent="0.3">
      <c r="A432">
        <v>555569947</v>
      </c>
      <c r="B432">
        <v>555569947</v>
      </c>
      <c r="C432">
        <v>0</v>
      </c>
      <c r="D432" t="s">
        <v>855</v>
      </c>
      <c r="E432" t="s">
        <v>855</v>
      </c>
      <c r="F432" t="s">
        <v>424</v>
      </c>
      <c r="G432" t="s">
        <v>425</v>
      </c>
      <c r="H432" t="s">
        <v>39</v>
      </c>
      <c r="I432" t="s">
        <v>41</v>
      </c>
      <c r="J432" t="s">
        <v>41</v>
      </c>
      <c r="K432">
        <v>0</v>
      </c>
      <c r="L432">
        <v>0</v>
      </c>
      <c r="M432">
        <v>1.6748673609341E-2</v>
      </c>
      <c r="N432">
        <v>0</v>
      </c>
      <c r="O432">
        <v>16.139864540826501</v>
      </c>
      <c r="P432" t="s">
        <v>41</v>
      </c>
      <c r="Q432">
        <v>0</v>
      </c>
      <c r="R432" t="s">
        <v>407</v>
      </c>
      <c r="S432">
        <v>1994</v>
      </c>
      <c r="T432" t="s">
        <v>66</v>
      </c>
      <c r="U432" t="s">
        <v>40</v>
      </c>
      <c r="V432" t="s">
        <v>408</v>
      </c>
      <c r="W432" t="s">
        <v>185</v>
      </c>
      <c r="X432" t="s">
        <v>250</v>
      </c>
      <c r="Y432" t="s">
        <v>426</v>
      </c>
      <c r="Z432" t="s">
        <v>43</v>
      </c>
      <c r="AA432">
        <v>1779</v>
      </c>
      <c r="AB432" t="s">
        <v>856</v>
      </c>
      <c r="AC432" t="s">
        <v>412</v>
      </c>
      <c r="AD432" t="s">
        <v>412</v>
      </c>
    </row>
    <row r="433" spans="1:30" x14ac:dyDescent="0.3">
      <c r="A433">
        <v>555544217</v>
      </c>
      <c r="B433">
        <v>555544217</v>
      </c>
      <c r="C433">
        <v>0</v>
      </c>
      <c r="D433" t="s">
        <v>857</v>
      </c>
      <c r="E433" t="s">
        <v>857</v>
      </c>
      <c r="F433" t="s">
        <v>424</v>
      </c>
      <c r="G433" t="s">
        <v>425</v>
      </c>
      <c r="H433" t="s">
        <v>39</v>
      </c>
      <c r="I433" t="s">
        <v>41</v>
      </c>
      <c r="J433" t="s">
        <v>41</v>
      </c>
      <c r="K433">
        <v>0</v>
      </c>
      <c r="L433">
        <v>0</v>
      </c>
      <c r="M433">
        <v>0</v>
      </c>
      <c r="N433">
        <v>0</v>
      </c>
      <c r="O433">
        <v>423.51697271885001</v>
      </c>
      <c r="P433" t="s">
        <v>41</v>
      </c>
      <c r="Q433">
        <v>0</v>
      </c>
      <c r="R433" t="s">
        <v>407</v>
      </c>
      <c r="S433">
        <v>1994</v>
      </c>
      <c r="T433" t="s">
        <v>66</v>
      </c>
      <c r="U433" t="s">
        <v>40</v>
      </c>
      <c r="V433" t="s">
        <v>408</v>
      </c>
      <c r="W433" t="s">
        <v>185</v>
      </c>
      <c r="X433" t="s">
        <v>250</v>
      </c>
      <c r="Y433" t="s">
        <v>426</v>
      </c>
      <c r="Z433" t="s">
        <v>43</v>
      </c>
      <c r="AA433">
        <v>1779</v>
      </c>
      <c r="AB433" t="s">
        <v>429</v>
      </c>
      <c r="AC433" t="s">
        <v>412</v>
      </c>
      <c r="AD433" t="s">
        <v>412</v>
      </c>
    </row>
    <row r="434" spans="1:30" x14ac:dyDescent="0.3">
      <c r="A434">
        <v>168216</v>
      </c>
      <c r="B434">
        <v>168216</v>
      </c>
      <c r="C434">
        <v>1</v>
      </c>
      <c r="D434" t="s">
        <v>858</v>
      </c>
      <c r="E434" t="s">
        <v>858</v>
      </c>
      <c r="F434" t="s">
        <v>81</v>
      </c>
      <c r="G434" t="s">
        <v>81</v>
      </c>
      <c r="H434" t="s">
        <v>82</v>
      </c>
      <c r="I434" t="s">
        <v>41</v>
      </c>
      <c r="J434" t="s">
        <v>41</v>
      </c>
      <c r="K434">
        <v>0</v>
      </c>
      <c r="L434">
        <v>0</v>
      </c>
      <c r="M434">
        <v>9.5794805003242303</v>
      </c>
      <c r="N434">
        <v>0</v>
      </c>
      <c r="O434">
        <v>23643.792080946601</v>
      </c>
      <c r="P434" t="s">
        <v>41</v>
      </c>
      <c r="Q434">
        <v>0</v>
      </c>
      <c r="R434" t="s">
        <v>50</v>
      </c>
      <c r="S434">
        <v>1998</v>
      </c>
      <c r="T434" t="s">
        <v>66</v>
      </c>
      <c r="U434" t="s">
        <v>40</v>
      </c>
      <c r="V434" t="s">
        <v>408</v>
      </c>
      <c r="W434" t="s">
        <v>40</v>
      </c>
      <c r="X434" t="s">
        <v>41</v>
      </c>
      <c r="Y434" t="s">
        <v>41</v>
      </c>
      <c r="Z434" t="s">
        <v>43</v>
      </c>
      <c r="AA434">
        <v>1779</v>
      </c>
      <c r="AB434" t="s">
        <v>859</v>
      </c>
      <c r="AC434" t="s">
        <v>412</v>
      </c>
      <c r="AD434" t="s">
        <v>412</v>
      </c>
    </row>
    <row r="435" spans="1:30" x14ac:dyDescent="0.3">
      <c r="A435">
        <v>555781138</v>
      </c>
      <c r="B435">
        <v>555781138</v>
      </c>
      <c r="C435">
        <v>0</v>
      </c>
      <c r="D435" t="s">
        <v>860</v>
      </c>
      <c r="E435" t="s">
        <v>860</v>
      </c>
      <c r="F435" t="s">
        <v>424</v>
      </c>
      <c r="G435" t="s">
        <v>425</v>
      </c>
      <c r="H435" t="s">
        <v>39</v>
      </c>
      <c r="I435" t="s">
        <v>41</v>
      </c>
      <c r="J435" t="s">
        <v>41</v>
      </c>
      <c r="K435">
        <v>0</v>
      </c>
      <c r="L435">
        <v>0</v>
      </c>
      <c r="M435">
        <v>4.0776825957129998E-3</v>
      </c>
      <c r="N435">
        <v>0</v>
      </c>
      <c r="O435">
        <v>42.012425074191803</v>
      </c>
      <c r="P435" t="s">
        <v>41</v>
      </c>
      <c r="Q435">
        <v>0</v>
      </c>
      <c r="R435" t="s">
        <v>407</v>
      </c>
      <c r="S435">
        <v>1994</v>
      </c>
      <c r="T435" t="s">
        <v>66</v>
      </c>
      <c r="U435" t="s">
        <v>40</v>
      </c>
      <c r="V435" t="s">
        <v>408</v>
      </c>
      <c r="W435" t="s">
        <v>185</v>
      </c>
      <c r="X435" t="s">
        <v>250</v>
      </c>
      <c r="Y435" t="s">
        <v>426</v>
      </c>
      <c r="Z435" t="s">
        <v>43</v>
      </c>
      <c r="AA435">
        <v>1779</v>
      </c>
      <c r="AB435" t="s">
        <v>859</v>
      </c>
      <c r="AC435" t="s">
        <v>412</v>
      </c>
      <c r="AD435" t="s">
        <v>412</v>
      </c>
    </row>
    <row r="436" spans="1:30" x14ac:dyDescent="0.3">
      <c r="A436">
        <v>555544268</v>
      </c>
      <c r="B436">
        <v>555544268</v>
      </c>
      <c r="C436">
        <v>0</v>
      </c>
      <c r="D436" t="s">
        <v>861</v>
      </c>
      <c r="E436" t="s">
        <v>861</v>
      </c>
      <c r="F436" t="s">
        <v>424</v>
      </c>
      <c r="G436" t="s">
        <v>425</v>
      </c>
      <c r="H436" t="s">
        <v>39</v>
      </c>
      <c r="I436" t="s">
        <v>41</v>
      </c>
      <c r="J436" t="s">
        <v>41</v>
      </c>
      <c r="K436">
        <v>0</v>
      </c>
      <c r="L436">
        <v>0</v>
      </c>
      <c r="M436">
        <v>3.1871180771203003E-2</v>
      </c>
      <c r="N436">
        <v>0</v>
      </c>
      <c r="O436">
        <v>10.1957928592903</v>
      </c>
      <c r="P436" t="s">
        <v>41</v>
      </c>
      <c r="Q436">
        <v>0</v>
      </c>
      <c r="R436" t="s">
        <v>407</v>
      </c>
      <c r="S436">
        <v>1994</v>
      </c>
      <c r="T436" t="s">
        <v>66</v>
      </c>
      <c r="U436" t="s">
        <v>40</v>
      </c>
      <c r="V436" t="s">
        <v>408</v>
      </c>
      <c r="W436" t="s">
        <v>185</v>
      </c>
      <c r="X436" t="s">
        <v>250</v>
      </c>
      <c r="Y436" t="s">
        <v>426</v>
      </c>
      <c r="Z436" t="s">
        <v>43</v>
      </c>
      <c r="AA436">
        <v>1779</v>
      </c>
      <c r="AB436" t="s">
        <v>429</v>
      </c>
      <c r="AC436" t="s">
        <v>412</v>
      </c>
      <c r="AD436" t="s">
        <v>412</v>
      </c>
    </row>
    <row r="437" spans="1:30" x14ac:dyDescent="0.3">
      <c r="A437">
        <v>555570007</v>
      </c>
      <c r="B437">
        <v>555570007</v>
      </c>
      <c r="C437">
        <v>0</v>
      </c>
      <c r="D437" t="s">
        <v>862</v>
      </c>
      <c r="E437" t="s">
        <v>862</v>
      </c>
      <c r="F437" t="s">
        <v>405</v>
      </c>
      <c r="G437" t="s">
        <v>406</v>
      </c>
      <c r="H437" t="s">
        <v>39</v>
      </c>
      <c r="I437" t="s">
        <v>41</v>
      </c>
      <c r="J437" t="s">
        <v>41</v>
      </c>
      <c r="K437">
        <v>0</v>
      </c>
      <c r="L437">
        <v>0</v>
      </c>
      <c r="M437">
        <v>2.9403017768435999E-2</v>
      </c>
      <c r="N437">
        <v>0</v>
      </c>
      <c r="O437">
        <v>322.05218440408203</v>
      </c>
      <c r="P437" t="s">
        <v>41</v>
      </c>
      <c r="Q437">
        <v>0</v>
      </c>
      <c r="R437" t="s">
        <v>407</v>
      </c>
      <c r="S437">
        <v>2021</v>
      </c>
      <c r="T437" t="s">
        <v>282</v>
      </c>
      <c r="U437" t="s">
        <v>40</v>
      </c>
      <c r="V437" t="s">
        <v>408</v>
      </c>
      <c r="W437" t="s">
        <v>409</v>
      </c>
      <c r="X437" t="s">
        <v>410</v>
      </c>
      <c r="Y437" t="s">
        <v>40</v>
      </c>
      <c r="Z437" t="s">
        <v>43</v>
      </c>
      <c r="AA437">
        <v>1779</v>
      </c>
      <c r="AB437" t="s">
        <v>859</v>
      </c>
      <c r="AC437" t="s">
        <v>412</v>
      </c>
      <c r="AD437" t="s">
        <v>412</v>
      </c>
    </row>
    <row r="438" spans="1:30" x14ac:dyDescent="0.3">
      <c r="A438">
        <v>555569980</v>
      </c>
      <c r="B438">
        <v>555569980</v>
      </c>
      <c r="C438">
        <v>0</v>
      </c>
      <c r="D438" t="s">
        <v>863</v>
      </c>
      <c r="E438" t="s">
        <v>863</v>
      </c>
      <c r="F438" t="s">
        <v>405</v>
      </c>
      <c r="G438" t="s">
        <v>406</v>
      </c>
      <c r="H438" t="s">
        <v>39</v>
      </c>
      <c r="I438" t="s">
        <v>41</v>
      </c>
      <c r="J438" t="s">
        <v>41</v>
      </c>
      <c r="K438">
        <v>0</v>
      </c>
      <c r="L438">
        <v>0</v>
      </c>
      <c r="M438">
        <v>0</v>
      </c>
      <c r="N438">
        <v>0</v>
      </c>
      <c r="O438">
        <v>151.77512615154501</v>
      </c>
      <c r="P438" t="s">
        <v>41</v>
      </c>
      <c r="Q438">
        <v>0</v>
      </c>
      <c r="R438" t="s">
        <v>407</v>
      </c>
      <c r="S438">
        <v>2021</v>
      </c>
      <c r="T438" t="s">
        <v>282</v>
      </c>
      <c r="U438" t="s">
        <v>40</v>
      </c>
      <c r="V438" t="s">
        <v>408</v>
      </c>
      <c r="W438" t="s">
        <v>409</v>
      </c>
      <c r="X438" t="s">
        <v>410</v>
      </c>
      <c r="Y438" t="s">
        <v>40</v>
      </c>
      <c r="Z438" t="s">
        <v>43</v>
      </c>
      <c r="AA438">
        <v>1779</v>
      </c>
      <c r="AB438" t="s">
        <v>864</v>
      </c>
      <c r="AC438" t="s">
        <v>412</v>
      </c>
      <c r="AD438" t="s">
        <v>412</v>
      </c>
    </row>
    <row r="439" spans="1:30" x14ac:dyDescent="0.3">
      <c r="A439">
        <v>902708</v>
      </c>
      <c r="B439">
        <v>902708</v>
      </c>
      <c r="C439">
        <v>1</v>
      </c>
      <c r="D439" t="s">
        <v>865</v>
      </c>
      <c r="E439" t="s">
        <v>865</v>
      </c>
      <c r="F439" t="s">
        <v>851</v>
      </c>
      <c r="G439" t="s">
        <v>116</v>
      </c>
      <c r="H439" t="s">
        <v>82</v>
      </c>
      <c r="I439" t="s">
        <v>40</v>
      </c>
      <c r="J439" t="s">
        <v>511</v>
      </c>
      <c r="K439">
        <v>0</v>
      </c>
      <c r="L439">
        <v>0</v>
      </c>
      <c r="M439">
        <v>0.85276408867504105</v>
      </c>
      <c r="N439">
        <v>0</v>
      </c>
      <c r="O439">
        <v>191.09655400819801</v>
      </c>
      <c r="P439" t="s">
        <v>41</v>
      </c>
      <c r="Q439">
        <v>0</v>
      </c>
      <c r="R439" t="s">
        <v>50</v>
      </c>
      <c r="S439">
        <v>2005</v>
      </c>
      <c r="T439" t="s">
        <v>66</v>
      </c>
      <c r="U439" t="s">
        <v>40</v>
      </c>
      <c r="V439" t="s">
        <v>408</v>
      </c>
      <c r="W439" t="s">
        <v>185</v>
      </c>
      <c r="X439" t="s">
        <v>41</v>
      </c>
      <c r="Y439" t="s">
        <v>41</v>
      </c>
      <c r="Z439" t="s">
        <v>43</v>
      </c>
      <c r="AA439">
        <v>1779</v>
      </c>
      <c r="AB439" t="s">
        <v>429</v>
      </c>
      <c r="AC439" t="s">
        <v>412</v>
      </c>
      <c r="AD439" t="s">
        <v>412</v>
      </c>
    </row>
    <row r="440" spans="1:30" x14ac:dyDescent="0.3">
      <c r="A440">
        <v>555781141</v>
      </c>
      <c r="B440">
        <v>555781141</v>
      </c>
      <c r="C440">
        <v>0</v>
      </c>
      <c r="D440" t="s">
        <v>866</v>
      </c>
      <c r="E440" t="s">
        <v>866</v>
      </c>
      <c r="F440" t="s">
        <v>424</v>
      </c>
      <c r="G440" t="s">
        <v>425</v>
      </c>
      <c r="H440" t="s">
        <v>39</v>
      </c>
      <c r="I440" t="s">
        <v>41</v>
      </c>
      <c r="J440" t="s">
        <v>41</v>
      </c>
      <c r="K440">
        <v>0</v>
      </c>
      <c r="L440">
        <v>0</v>
      </c>
      <c r="M440">
        <v>1.8792382281959999E-3</v>
      </c>
      <c r="N440">
        <v>0</v>
      </c>
      <c r="O440">
        <v>8.0093438825739298</v>
      </c>
      <c r="P440" t="s">
        <v>41</v>
      </c>
      <c r="Q440">
        <v>0</v>
      </c>
      <c r="R440" t="s">
        <v>407</v>
      </c>
      <c r="S440">
        <v>1994</v>
      </c>
      <c r="T440" t="s">
        <v>66</v>
      </c>
      <c r="U440" t="s">
        <v>40</v>
      </c>
      <c r="V440" t="s">
        <v>408</v>
      </c>
      <c r="W440" t="s">
        <v>185</v>
      </c>
      <c r="X440" t="s">
        <v>250</v>
      </c>
      <c r="Y440" t="s">
        <v>426</v>
      </c>
      <c r="Z440" t="s">
        <v>43</v>
      </c>
      <c r="AA440">
        <v>1779</v>
      </c>
      <c r="AB440" t="s">
        <v>859</v>
      </c>
      <c r="AC440" t="s">
        <v>412</v>
      </c>
      <c r="AD440" t="s">
        <v>412</v>
      </c>
    </row>
    <row r="441" spans="1:30" x14ac:dyDescent="0.3">
      <c r="A441">
        <v>555570043</v>
      </c>
      <c r="B441">
        <v>555570043</v>
      </c>
      <c r="C441">
        <v>0</v>
      </c>
      <c r="D441" t="s">
        <v>867</v>
      </c>
      <c r="E441" t="s">
        <v>867</v>
      </c>
      <c r="F441" t="s">
        <v>405</v>
      </c>
      <c r="G441" t="s">
        <v>406</v>
      </c>
      <c r="H441" t="s">
        <v>39</v>
      </c>
      <c r="I441" t="s">
        <v>41</v>
      </c>
      <c r="J441" t="s">
        <v>41</v>
      </c>
      <c r="K441">
        <v>0</v>
      </c>
      <c r="L441">
        <v>0</v>
      </c>
      <c r="M441">
        <v>0.192170334433584</v>
      </c>
      <c r="N441">
        <v>0</v>
      </c>
      <c r="O441">
        <v>7238.2940310076701</v>
      </c>
      <c r="P441" t="s">
        <v>41</v>
      </c>
      <c r="Q441">
        <v>0</v>
      </c>
      <c r="R441" t="s">
        <v>407</v>
      </c>
      <c r="S441">
        <v>2021</v>
      </c>
      <c r="T441" t="s">
        <v>282</v>
      </c>
      <c r="U441" t="s">
        <v>40</v>
      </c>
      <c r="V441" t="s">
        <v>408</v>
      </c>
      <c r="W441" t="s">
        <v>409</v>
      </c>
      <c r="X441" t="s">
        <v>410</v>
      </c>
      <c r="Y441" t="s">
        <v>40</v>
      </c>
      <c r="Z441" t="s">
        <v>43</v>
      </c>
      <c r="AA441">
        <v>1779</v>
      </c>
      <c r="AB441" t="s">
        <v>429</v>
      </c>
      <c r="AC441" t="s">
        <v>412</v>
      </c>
      <c r="AD441" t="s">
        <v>412</v>
      </c>
    </row>
    <row r="442" spans="1:30" x14ac:dyDescent="0.3">
      <c r="A442">
        <v>555721491</v>
      </c>
      <c r="B442">
        <v>555721491</v>
      </c>
      <c r="C442">
        <v>0</v>
      </c>
      <c r="D442" t="s">
        <v>868</v>
      </c>
      <c r="E442" t="s">
        <v>868</v>
      </c>
      <c r="F442" t="s">
        <v>405</v>
      </c>
      <c r="G442" t="s">
        <v>406</v>
      </c>
      <c r="H442" t="s">
        <v>39</v>
      </c>
      <c r="I442" t="s">
        <v>41</v>
      </c>
      <c r="J442" t="s">
        <v>41</v>
      </c>
      <c r="K442">
        <v>0</v>
      </c>
      <c r="L442">
        <v>0</v>
      </c>
      <c r="M442">
        <v>1.9084733331490001E-3</v>
      </c>
      <c r="N442">
        <v>0</v>
      </c>
      <c r="O442">
        <v>494.40988131489001</v>
      </c>
      <c r="P442" t="s">
        <v>41</v>
      </c>
      <c r="Q442">
        <v>0</v>
      </c>
      <c r="R442" t="s">
        <v>407</v>
      </c>
      <c r="S442">
        <v>2021</v>
      </c>
      <c r="T442" t="s">
        <v>282</v>
      </c>
      <c r="U442" t="s">
        <v>40</v>
      </c>
      <c r="V442" t="s">
        <v>408</v>
      </c>
      <c r="W442" t="s">
        <v>409</v>
      </c>
      <c r="X442" t="s">
        <v>410</v>
      </c>
      <c r="Y442" t="s">
        <v>40</v>
      </c>
      <c r="Z442" t="s">
        <v>43</v>
      </c>
      <c r="AA442">
        <v>1779</v>
      </c>
      <c r="AB442" t="s">
        <v>859</v>
      </c>
      <c r="AC442" t="s">
        <v>412</v>
      </c>
      <c r="AD442" t="s">
        <v>412</v>
      </c>
    </row>
    <row r="443" spans="1:30" x14ac:dyDescent="0.3">
      <c r="A443">
        <v>555721485</v>
      </c>
      <c r="B443">
        <v>555721485</v>
      </c>
      <c r="C443">
        <v>0</v>
      </c>
      <c r="D443" t="s">
        <v>869</v>
      </c>
      <c r="E443" t="s">
        <v>869</v>
      </c>
      <c r="F443" t="s">
        <v>405</v>
      </c>
      <c r="G443" t="s">
        <v>406</v>
      </c>
      <c r="H443" t="s">
        <v>39</v>
      </c>
      <c r="I443" t="s">
        <v>41</v>
      </c>
      <c r="J443" t="s">
        <v>41</v>
      </c>
      <c r="K443">
        <v>0</v>
      </c>
      <c r="L443">
        <v>0</v>
      </c>
      <c r="M443">
        <v>3.9748064174930001E-2</v>
      </c>
      <c r="N443">
        <v>0</v>
      </c>
      <c r="O443">
        <v>347.45482920720002</v>
      </c>
      <c r="P443" t="s">
        <v>41</v>
      </c>
      <c r="Q443">
        <v>0</v>
      </c>
      <c r="R443" t="s">
        <v>407</v>
      </c>
      <c r="S443">
        <v>2021</v>
      </c>
      <c r="T443" t="s">
        <v>282</v>
      </c>
      <c r="U443" t="s">
        <v>40</v>
      </c>
      <c r="V443" t="s">
        <v>408</v>
      </c>
      <c r="W443" t="s">
        <v>409</v>
      </c>
      <c r="X443" t="s">
        <v>410</v>
      </c>
      <c r="Y443" t="s">
        <v>40</v>
      </c>
      <c r="Z443" t="s">
        <v>43</v>
      </c>
      <c r="AA443">
        <v>1779</v>
      </c>
      <c r="AB443" t="s">
        <v>864</v>
      </c>
      <c r="AC443" t="s">
        <v>412</v>
      </c>
      <c r="AD443" t="s">
        <v>412</v>
      </c>
    </row>
    <row r="444" spans="1:30" x14ac:dyDescent="0.3">
      <c r="A444">
        <v>555721517</v>
      </c>
      <c r="B444">
        <v>555721517</v>
      </c>
      <c r="C444">
        <v>0</v>
      </c>
      <c r="D444" t="s">
        <v>870</v>
      </c>
      <c r="E444" t="s">
        <v>870</v>
      </c>
      <c r="F444" t="s">
        <v>405</v>
      </c>
      <c r="G444" t="s">
        <v>406</v>
      </c>
      <c r="H444" t="s">
        <v>39</v>
      </c>
      <c r="I444" t="s">
        <v>41</v>
      </c>
      <c r="J444" t="s">
        <v>41</v>
      </c>
      <c r="K444">
        <v>0</v>
      </c>
      <c r="L444">
        <v>0</v>
      </c>
      <c r="M444">
        <v>1.7599783395386599</v>
      </c>
      <c r="N444">
        <v>0</v>
      </c>
      <c r="O444">
        <v>587.98990680916802</v>
      </c>
      <c r="P444" t="s">
        <v>41</v>
      </c>
      <c r="Q444">
        <v>0</v>
      </c>
      <c r="R444" t="s">
        <v>407</v>
      </c>
      <c r="S444">
        <v>2021</v>
      </c>
      <c r="T444" t="s">
        <v>282</v>
      </c>
      <c r="U444" t="s">
        <v>40</v>
      </c>
      <c r="V444" t="s">
        <v>408</v>
      </c>
      <c r="W444" t="s">
        <v>409</v>
      </c>
      <c r="X444" t="s">
        <v>410</v>
      </c>
      <c r="Y444" t="s">
        <v>40</v>
      </c>
      <c r="Z444" t="s">
        <v>43</v>
      </c>
      <c r="AA444">
        <v>1779</v>
      </c>
      <c r="AB444" t="s">
        <v>864</v>
      </c>
      <c r="AC444" t="s">
        <v>412</v>
      </c>
      <c r="AD444" t="s">
        <v>412</v>
      </c>
    </row>
    <row r="445" spans="1:30" x14ac:dyDescent="0.3">
      <c r="A445">
        <v>555721506</v>
      </c>
      <c r="B445">
        <v>555721506</v>
      </c>
      <c r="C445">
        <v>0</v>
      </c>
      <c r="D445" t="s">
        <v>871</v>
      </c>
      <c r="E445" t="s">
        <v>871</v>
      </c>
      <c r="F445" t="s">
        <v>405</v>
      </c>
      <c r="G445" t="s">
        <v>406</v>
      </c>
      <c r="H445" t="s">
        <v>39</v>
      </c>
      <c r="I445" t="s">
        <v>41</v>
      </c>
      <c r="J445" t="s">
        <v>41</v>
      </c>
      <c r="K445">
        <v>0</v>
      </c>
      <c r="L445">
        <v>0</v>
      </c>
      <c r="M445">
        <v>2.1801521672845099</v>
      </c>
      <c r="N445">
        <v>0</v>
      </c>
      <c r="O445">
        <v>412.58811389468701</v>
      </c>
      <c r="P445" t="s">
        <v>41</v>
      </c>
      <c r="Q445">
        <v>0</v>
      </c>
      <c r="R445" t="s">
        <v>407</v>
      </c>
      <c r="S445">
        <v>2021</v>
      </c>
      <c r="T445" t="s">
        <v>282</v>
      </c>
      <c r="U445" t="s">
        <v>40</v>
      </c>
      <c r="V445" t="s">
        <v>408</v>
      </c>
      <c r="W445" t="s">
        <v>409</v>
      </c>
      <c r="X445" t="s">
        <v>410</v>
      </c>
      <c r="Y445" t="s">
        <v>40</v>
      </c>
      <c r="Z445" t="s">
        <v>43</v>
      </c>
      <c r="AA445">
        <v>1779</v>
      </c>
      <c r="AB445" t="s">
        <v>859</v>
      </c>
      <c r="AC445" t="s">
        <v>412</v>
      </c>
      <c r="AD445" t="s">
        <v>412</v>
      </c>
    </row>
    <row r="446" spans="1:30" x14ac:dyDescent="0.3">
      <c r="A446">
        <v>555570040</v>
      </c>
      <c r="B446">
        <v>555570040</v>
      </c>
      <c r="C446">
        <v>0</v>
      </c>
      <c r="D446" t="s">
        <v>872</v>
      </c>
      <c r="E446" t="s">
        <v>872</v>
      </c>
      <c r="F446" t="s">
        <v>405</v>
      </c>
      <c r="G446" t="s">
        <v>406</v>
      </c>
      <c r="H446" t="s">
        <v>39</v>
      </c>
      <c r="I446" t="s">
        <v>41</v>
      </c>
      <c r="J446" t="s">
        <v>41</v>
      </c>
      <c r="K446">
        <v>0</v>
      </c>
      <c r="L446">
        <v>0</v>
      </c>
      <c r="M446">
        <v>0.26680695335566901</v>
      </c>
      <c r="N446">
        <v>0</v>
      </c>
      <c r="O446">
        <v>4338.84101815949</v>
      </c>
      <c r="P446" t="s">
        <v>41</v>
      </c>
      <c r="Q446">
        <v>0</v>
      </c>
      <c r="R446" t="s">
        <v>407</v>
      </c>
      <c r="S446">
        <v>2021</v>
      </c>
      <c r="T446" t="s">
        <v>282</v>
      </c>
      <c r="U446" t="s">
        <v>40</v>
      </c>
      <c r="V446" t="s">
        <v>408</v>
      </c>
      <c r="W446" t="s">
        <v>409</v>
      </c>
      <c r="X446" t="s">
        <v>410</v>
      </c>
      <c r="Y446" t="s">
        <v>40</v>
      </c>
      <c r="Z446" t="s">
        <v>43</v>
      </c>
      <c r="AA446">
        <v>1779</v>
      </c>
      <c r="AB446" t="s">
        <v>429</v>
      </c>
      <c r="AC446" t="s">
        <v>412</v>
      </c>
      <c r="AD446" t="s">
        <v>412</v>
      </c>
    </row>
    <row r="447" spans="1:30" x14ac:dyDescent="0.3">
      <c r="A447">
        <v>555698088</v>
      </c>
      <c r="B447">
        <v>555698088</v>
      </c>
      <c r="C447">
        <v>1</v>
      </c>
      <c r="D447" t="s">
        <v>873</v>
      </c>
      <c r="E447" t="s">
        <v>873</v>
      </c>
      <c r="F447" t="s">
        <v>851</v>
      </c>
      <c r="G447" t="s">
        <v>116</v>
      </c>
      <c r="H447" t="s">
        <v>82</v>
      </c>
      <c r="I447" t="s">
        <v>40</v>
      </c>
      <c r="J447" t="s">
        <v>874</v>
      </c>
      <c r="K447">
        <v>1</v>
      </c>
      <c r="L447">
        <v>0</v>
      </c>
      <c r="M447">
        <v>16.943046933054699</v>
      </c>
      <c r="N447">
        <v>0</v>
      </c>
      <c r="O447">
        <v>68.202708188936995</v>
      </c>
      <c r="P447" t="s">
        <v>40</v>
      </c>
      <c r="Q447">
        <v>0</v>
      </c>
      <c r="R447" t="s">
        <v>50</v>
      </c>
      <c r="S447">
        <v>2019</v>
      </c>
      <c r="T447" t="s">
        <v>66</v>
      </c>
      <c r="U447" t="s">
        <v>40</v>
      </c>
      <c r="V447" t="s">
        <v>408</v>
      </c>
      <c r="W447" t="s">
        <v>409</v>
      </c>
      <c r="X447" t="s">
        <v>41</v>
      </c>
      <c r="Y447" t="s">
        <v>41</v>
      </c>
      <c r="Z447" t="s">
        <v>43</v>
      </c>
      <c r="AA447">
        <v>1779</v>
      </c>
      <c r="AB447" t="s">
        <v>859</v>
      </c>
      <c r="AC447" t="s">
        <v>412</v>
      </c>
      <c r="AD447" t="s">
        <v>412</v>
      </c>
    </row>
    <row r="448" spans="1:30" x14ac:dyDescent="0.3">
      <c r="A448">
        <v>902710</v>
      </c>
      <c r="B448">
        <v>902710</v>
      </c>
      <c r="C448">
        <v>1</v>
      </c>
      <c r="D448" t="s">
        <v>875</v>
      </c>
      <c r="E448" t="s">
        <v>876</v>
      </c>
      <c r="F448" t="s">
        <v>851</v>
      </c>
      <c r="G448" t="s">
        <v>116</v>
      </c>
      <c r="H448" t="s">
        <v>82</v>
      </c>
      <c r="I448" t="s">
        <v>40</v>
      </c>
      <c r="J448" t="s">
        <v>877</v>
      </c>
      <c r="K448">
        <v>1</v>
      </c>
      <c r="L448">
        <v>0</v>
      </c>
      <c r="M448">
        <v>69.158911666581304</v>
      </c>
      <c r="N448">
        <v>0</v>
      </c>
      <c r="O448">
        <v>118.261994279044</v>
      </c>
      <c r="P448" t="s">
        <v>40</v>
      </c>
      <c r="Q448">
        <v>0</v>
      </c>
      <c r="R448" t="s">
        <v>50</v>
      </c>
      <c r="S448">
        <v>2005</v>
      </c>
      <c r="T448" t="s">
        <v>66</v>
      </c>
      <c r="U448" t="s">
        <v>40</v>
      </c>
      <c r="V448" t="s">
        <v>408</v>
      </c>
      <c r="W448" t="s">
        <v>185</v>
      </c>
      <c r="X448" t="s">
        <v>41</v>
      </c>
      <c r="Y448" t="s">
        <v>41</v>
      </c>
      <c r="Z448" t="s">
        <v>43</v>
      </c>
      <c r="AA448">
        <v>1779</v>
      </c>
      <c r="AB448" t="s">
        <v>429</v>
      </c>
      <c r="AC448" t="s">
        <v>412</v>
      </c>
      <c r="AD448" t="s">
        <v>412</v>
      </c>
    </row>
    <row r="449" spans="1:30" x14ac:dyDescent="0.3">
      <c r="A449">
        <v>36991</v>
      </c>
      <c r="B449">
        <v>36991</v>
      </c>
      <c r="C449">
        <v>1</v>
      </c>
      <c r="D449" t="s">
        <v>878</v>
      </c>
      <c r="E449" t="s">
        <v>878</v>
      </c>
      <c r="F449" t="s">
        <v>102</v>
      </c>
      <c r="G449" t="s">
        <v>102</v>
      </c>
      <c r="H449" t="s">
        <v>39</v>
      </c>
      <c r="I449" t="s">
        <v>40</v>
      </c>
      <c r="J449" t="s">
        <v>41</v>
      </c>
      <c r="K449">
        <v>0</v>
      </c>
      <c r="L449">
        <v>0</v>
      </c>
      <c r="M449">
        <v>0</v>
      </c>
      <c r="N449">
        <v>0</v>
      </c>
      <c r="O449">
        <v>22.415152531374201</v>
      </c>
      <c r="P449" t="s">
        <v>41</v>
      </c>
      <c r="Q449">
        <v>0</v>
      </c>
      <c r="R449" t="s">
        <v>50</v>
      </c>
      <c r="S449">
        <v>0</v>
      </c>
      <c r="T449" t="s">
        <v>373</v>
      </c>
      <c r="U449" t="s">
        <v>40</v>
      </c>
      <c r="V449" t="s">
        <v>40</v>
      </c>
      <c r="W449" t="s">
        <v>40</v>
      </c>
      <c r="X449" t="s">
        <v>41</v>
      </c>
      <c r="Y449" t="s">
        <v>41</v>
      </c>
      <c r="Z449" t="s">
        <v>43</v>
      </c>
      <c r="AA449">
        <v>213</v>
      </c>
      <c r="AB449" t="s">
        <v>879</v>
      </c>
      <c r="AC449" t="s">
        <v>440</v>
      </c>
      <c r="AD449" t="s">
        <v>440</v>
      </c>
    </row>
    <row r="450" spans="1:30" x14ac:dyDescent="0.3">
      <c r="A450">
        <v>555781116</v>
      </c>
      <c r="B450">
        <v>555781116</v>
      </c>
      <c r="C450">
        <v>1</v>
      </c>
      <c r="D450" t="s">
        <v>880</v>
      </c>
      <c r="E450" t="s">
        <v>880</v>
      </c>
      <c r="F450" t="s">
        <v>881</v>
      </c>
      <c r="G450" t="s">
        <v>882</v>
      </c>
      <c r="H450" t="s">
        <v>39</v>
      </c>
      <c r="I450" t="s">
        <v>74</v>
      </c>
      <c r="J450" t="s">
        <v>41</v>
      </c>
      <c r="K450">
        <v>0</v>
      </c>
      <c r="L450">
        <v>0</v>
      </c>
      <c r="M450">
        <v>0</v>
      </c>
      <c r="N450">
        <v>0</v>
      </c>
      <c r="O450">
        <v>1320.9079601675901</v>
      </c>
      <c r="P450" t="s">
        <v>41</v>
      </c>
      <c r="Q450">
        <v>0</v>
      </c>
      <c r="R450" t="s">
        <v>50</v>
      </c>
      <c r="S450">
        <v>0</v>
      </c>
      <c r="T450" t="s">
        <v>263</v>
      </c>
      <c r="U450" t="s">
        <v>51</v>
      </c>
      <c r="V450" t="s">
        <v>883</v>
      </c>
      <c r="W450" t="s">
        <v>40</v>
      </c>
      <c r="X450" t="s">
        <v>41</v>
      </c>
      <c r="Y450" t="s">
        <v>41</v>
      </c>
      <c r="Z450" t="s">
        <v>43</v>
      </c>
      <c r="AA450">
        <v>1962</v>
      </c>
      <c r="AB450" t="s">
        <v>884</v>
      </c>
      <c r="AC450" t="s">
        <v>667</v>
      </c>
      <c r="AD450" t="s">
        <v>667</v>
      </c>
    </row>
    <row r="451" spans="1:30" x14ac:dyDescent="0.3">
      <c r="A451">
        <v>555786020</v>
      </c>
      <c r="B451">
        <v>555786020</v>
      </c>
      <c r="C451">
        <v>1</v>
      </c>
      <c r="D451" t="s">
        <v>885</v>
      </c>
      <c r="E451" t="s">
        <v>885</v>
      </c>
      <c r="F451" t="s">
        <v>102</v>
      </c>
      <c r="G451" t="s">
        <v>102</v>
      </c>
      <c r="H451" t="s">
        <v>39</v>
      </c>
      <c r="I451" t="s">
        <v>49</v>
      </c>
      <c r="J451" t="s">
        <v>41</v>
      </c>
      <c r="K451">
        <v>0</v>
      </c>
      <c r="L451">
        <v>0</v>
      </c>
      <c r="M451">
        <v>0</v>
      </c>
      <c r="N451">
        <v>24.110444000000001</v>
      </c>
      <c r="O451">
        <v>24.1128162933475</v>
      </c>
      <c r="P451" t="s">
        <v>41</v>
      </c>
      <c r="Q451">
        <v>0</v>
      </c>
      <c r="R451" t="s">
        <v>50</v>
      </c>
      <c r="S451">
        <v>2000</v>
      </c>
      <c r="T451" t="s">
        <v>66</v>
      </c>
      <c r="U451" t="s">
        <v>51</v>
      </c>
      <c r="V451" t="s">
        <v>886</v>
      </c>
      <c r="W451" t="s">
        <v>213</v>
      </c>
      <c r="X451" t="s">
        <v>41</v>
      </c>
      <c r="Y451" t="s">
        <v>41</v>
      </c>
      <c r="Z451" t="s">
        <v>43</v>
      </c>
      <c r="AA451">
        <v>1676</v>
      </c>
      <c r="AB451" t="s">
        <v>887</v>
      </c>
      <c r="AC451" t="s">
        <v>888</v>
      </c>
      <c r="AD451" t="s">
        <v>888</v>
      </c>
    </row>
    <row r="452" spans="1:30" x14ac:dyDescent="0.3">
      <c r="A452">
        <v>33183</v>
      </c>
      <c r="B452">
        <v>33183</v>
      </c>
      <c r="C452">
        <v>1</v>
      </c>
      <c r="D452" t="s">
        <v>889</v>
      </c>
      <c r="E452" t="s">
        <v>889</v>
      </c>
      <c r="F452" t="s">
        <v>102</v>
      </c>
      <c r="G452" t="s">
        <v>102</v>
      </c>
      <c r="H452" t="s">
        <v>39</v>
      </c>
      <c r="I452" t="s">
        <v>49</v>
      </c>
      <c r="J452" t="s">
        <v>41</v>
      </c>
      <c r="K452">
        <v>0</v>
      </c>
      <c r="L452">
        <v>0</v>
      </c>
      <c r="M452">
        <v>0</v>
      </c>
      <c r="N452">
        <v>208.85128800000001</v>
      </c>
      <c r="O452">
        <v>209.02977070487901</v>
      </c>
      <c r="P452" t="s">
        <v>41</v>
      </c>
      <c r="Q452">
        <v>0</v>
      </c>
      <c r="R452" t="s">
        <v>50</v>
      </c>
      <c r="S452">
        <v>1924</v>
      </c>
      <c r="T452" t="s">
        <v>66</v>
      </c>
      <c r="U452" t="s">
        <v>51</v>
      </c>
      <c r="V452" t="s">
        <v>886</v>
      </c>
      <c r="W452" t="s">
        <v>213</v>
      </c>
      <c r="X452" t="s">
        <v>41</v>
      </c>
      <c r="Y452" t="s">
        <v>41</v>
      </c>
      <c r="Z452" t="s">
        <v>43</v>
      </c>
      <c r="AA452">
        <v>1676</v>
      </c>
      <c r="AB452" t="s">
        <v>890</v>
      </c>
      <c r="AC452" t="s">
        <v>888</v>
      </c>
      <c r="AD452" t="s">
        <v>888</v>
      </c>
    </row>
    <row r="453" spans="1:30" x14ac:dyDescent="0.3">
      <c r="A453">
        <v>33154</v>
      </c>
      <c r="B453">
        <v>33154</v>
      </c>
      <c r="C453">
        <v>1</v>
      </c>
      <c r="D453" t="s">
        <v>891</v>
      </c>
      <c r="E453" t="s">
        <v>891</v>
      </c>
      <c r="F453" t="s">
        <v>102</v>
      </c>
      <c r="G453" t="s">
        <v>102</v>
      </c>
      <c r="H453" t="s">
        <v>39</v>
      </c>
      <c r="I453" t="s">
        <v>49</v>
      </c>
      <c r="J453" t="s">
        <v>41</v>
      </c>
      <c r="K453">
        <v>0</v>
      </c>
      <c r="L453">
        <v>0</v>
      </c>
      <c r="M453">
        <v>0</v>
      </c>
      <c r="N453">
        <v>889.66097200000002</v>
      </c>
      <c r="O453">
        <v>889.09716639886005</v>
      </c>
      <c r="P453" t="s">
        <v>41</v>
      </c>
      <c r="Q453">
        <v>0</v>
      </c>
      <c r="R453" t="s">
        <v>50</v>
      </c>
      <c r="S453">
        <v>1924</v>
      </c>
      <c r="T453" t="s">
        <v>66</v>
      </c>
      <c r="U453" t="s">
        <v>51</v>
      </c>
      <c r="V453" t="s">
        <v>886</v>
      </c>
      <c r="W453" t="s">
        <v>213</v>
      </c>
      <c r="X453" t="s">
        <v>41</v>
      </c>
      <c r="Y453" t="s">
        <v>41</v>
      </c>
      <c r="Z453" t="s">
        <v>43</v>
      </c>
      <c r="AA453">
        <v>1676</v>
      </c>
      <c r="AB453" t="s">
        <v>887</v>
      </c>
      <c r="AC453" t="s">
        <v>888</v>
      </c>
      <c r="AD453" t="s">
        <v>888</v>
      </c>
    </row>
    <row r="454" spans="1:30" x14ac:dyDescent="0.3">
      <c r="A454">
        <v>33156</v>
      </c>
      <c r="B454">
        <v>33156</v>
      </c>
      <c r="C454">
        <v>1</v>
      </c>
      <c r="D454" t="s">
        <v>892</v>
      </c>
      <c r="E454" t="s">
        <v>892</v>
      </c>
      <c r="F454" t="s">
        <v>102</v>
      </c>
      <c r="G454" t="s">
        <v>102</v>
      </c>
      <c r="H454" t="s">
        <v>39</v>
      </c>
      <c r="I454" t="s">
        <v>49</v>
      </c>
      <c r="J454" t="s">
        <v>41</v>
      </c>
      <c r="K454">
        <v>0</v>
      </c>
      <c r="L454">
        <v>0</v>
      </c>
      <c r="M454">
        <v>0</v>
      </c>
      <c r="N454">
        <v>5.0106169999999999</v>
      </c>
      <c r="O454">
        <v>5.0077461108385499</v>
      </c>
      <c r="P454" t="s">
        <v>41</v>
      </c>
      <c r="Q454">
        <v>0</v>
      </c>
      <c r="R454" t="s">
        <v>50</v>
      </c>
      <c r="S454">
        <v>1980</v>
      </c>
      <c r="T454" t="s">
        <v>66</v>
      </c>
      <c r="U454" t="s">
        <v>51</v>
      </c>
      <c r="V454" t="s">
        <v>886</v>
      </c>
      <c r="W454" t="s">
        <v>213</v>
      </c>
      <c r="X454" t="s">
        <v>41</v>
      </c>
      <c r="Y454" t="s">
        <v>41</v>
      </c>
      <c r="Z454" t="s">
        <v>43</v>
      </c>
      <c r="AA454">
        <v>1676</v>
      </c>
      <c r="AB454" t="s">
        <v>887</v>
      </c>
      <c r="AC454" t="s">
        <v>888</v>
      </c>
      <c r="AD454" t="s">
        <v>888</v>
      </c>
    </row>
    <row r="455" spans="1:30" x14ac:dyDescent="0.3">
      <c r="A455">
        <v>2017</v>
      </c>
      <c r="B455">
        <v>2017</v>
      </c>
      <c r="C455">
        <v>1</v>
      </c>
      <c r="D455" t="s">
        <v>893</v>
      </c>
      <c r="E455" t="s">
        <v>669</v>
      </c>
      <c r="F455" t="s">
        <v>479</v>
      </c>
      <c r="G455" t="s">
        <v>480</v>
      </c>
      <c r="H455" t="s">
        <v>82</v>
      </c>
      <c r="I455" t="s">
        <v>41</v>
      </c>
      <c r="J455" t="s">
        <v>894</v>
      </c>
      <c r="K455">
        <v>0</v>
      </c>
      <c r="L455">
        <v>0</v>
      </c>
      <c r="M455">
        <v>0</v>
      </c>
      <c r="N455">
        <v>8000</v>
      </c>
      <c r="O455">
        <v>7770.2757015331699</v>
      </c>
      <c r="P455" t="s">
        <v>41</v>
      </c>
      <c r="Q455">
        <v>0</v>
      </c>
      <c r="R455" t="s">
        <v>482</v>
      </c>
      <c r="S455">
        <v>1979</v>
      </c>
      <c r="T455" t="s">
        <v>40</v>
      </c>
      <c r="U455" t="s">
        <v>40</v>
      </c>
      <c r="V455" t="s">
        <v>40</v>
      </c>
      <c r="W455" t="s">
        <v>40</v>
      </c>
      <c r="X455" t="s">
        <v>41</v>
      </c>
      <c r="Y455" t="s">
        <v>41</v>
      </c>
      <c r="Z455" t="s">
        <v>43</v>
      </c>
      <c r="AA455">
        <v>946</v>
      </c>
      <c r="AB455" t="s">
        <v>40</v>
      </c>
      <c r="AC455" t="s">
        <v>667</v>
      </c>
      <c r="AD455" t="s">
        <v>667</v>
      </c>
    </row>
    <row r="456" spans="1:30" x14ac:dyDescent="0.3">
      <c r="A456">
        <v>4328</v>
      </c>
      <c r="B456">
        <v>4328</v>
      </c>
      <c r="C456">
        <v>1</v>
      </c>
      <c r="D456" t="s">
        <v>895</v>
      </c>
      <c r="E456" t="s">
        <v>896</v>
      </c>
      <c r="F456" t="s">
        <v>479</v>
      </c>
      <c r="G456" t="s">
        <v>480</v>
      </c>
      <c r="H456" t="s">
        <v>82</v>
      </c>
      <c r="I456" t="s">
        <v>41</v>
      </c>
      <c r="J456" t="s">
        <v>897</v>
      </c>
      <c r="K456">
        <v>0</v>
      </c>
      <c r="L456">
        <v>0</v>
      </c>
      <c r="M456">
        <v>0</v>
      </c>
      <c r="N456">
        <v>6000</v>
      </c>
      <c r="O456">
        <v>6567.2777875940101</v>
      </c>
      <c r="P456" t="s">
        <v>41</v>
      </c>
      <c r="Q456">
        <v>0</v>
      </c>
      <c r="R456" t="s">
        <v>482</v>
      </c>
      <c r="S456">
        <v>1980</v>
      </c>
      <c r="T456" t="s">
        <v>40</v>
      </c>
      <c r="U456" t="s">
        <v>40</v>
      </c>
      <c r="V456" t="s">
        <v>40</v>
      </c>
      <c r="W456" t="s">
        <v>40</v>
      </c>
      <c r="X456" t="s">
        <v>41</v>
      </c>
      <c r="Y456" t="s">
        <v>41</v>
      </c>
      <c r="Z456" t="s">
        <v>43</v>
      </c>
      <c r="AA456">
        <v>946</v>
      </c>
      <c r="AB456" t="s">
        <v>40</v>
      </c>
      <c r="AC456" t="s">
        <v>667</v>
      </c>
      <c r="AD456" t="s">
        <v>667</v>
      </c>
    </row>
    <row r="457" spans="1:30" x14ac:dyDescent="0.3">
      <c r="A457">
        <v>5005</v>
      </c>
      <c r="B457">
        <v>5005</v>
      </c>
      <c r="C457">
        <v>1</v>
      </c>
      <c r="D457" t="s">
        <v>898</v>
      </c>
      <c r="E457" t="s">
        <v>899</v>
      </c>
      <c r="F457" t="s">
        <v>480</v>
      </c>
      <c r="G457" t="s">
        <v>480</v>
      </c>
      <c r="H457" t="s">
        <v>82</v>
      </c>
      <c r="I457" t="s">
        <v>41</v>
      </c>
      <c r="J457" t="s">
        <v>481</v>
      </c>
      <c r="K457">
        <v>0</v>
      </c>
      <c r="L457">
        <v>0</v>
      </c>
      <c r="M457">
        <v>0</v>
      </c>
      <c r="N457">
        <v>51200</v>
      </c>
      <c r="O457">
        <v>47214.807079504302</v>
      </c>
      <c r="P457" t="s">
        <v>41</v>
      </c>
      <c r="Q457">
        <v>0</v>
      </c>
      <c r="R457" t="s">
        <v>482</v>
      </c>
      <c r="S457">
        <v>1982</v>
      </c>
      <c r="T457" t="s">
        <v>40</v>
      </c>
      <c r="U457" t="s">
        <v>40</v>
      </c>
      <c r="V457" t="s">
        <v>40</v>
      </c>
      <c r="W457" t="s">
        <v>40</v>
      </c>
      <c r="X457" t="s">
        <v>41</v>
      </c>
      <c r="Y457" t="s">
        <v>41</v>
      </c>
      <c r="Z457" t="s">
        <v>43</v>
      </c>
      <c r="AA457">
        <v>946</v>
      </c>
      <c r="AB457" t="s">
        <v>40</v>
      </c>
      <c r="AC457" t="s">
        <v>617</v>
      </c>
      <c r="AD457" t="s">
        <v>617</v>
      </c>
    </row>
    <row r="458" spans="1:30" x14ac:dyDescent="0.3">
      <c r="A458">
        <v>20388</v>
      </c>
      <c r="B458">
        <v>20388</v>
      </c>
      <c r="C458">
        <v>1</v>
      </c>
      <c r="D458" t="s">
        <v>900</v>
      </c>
      <c r="E458" t="s">
        <v>901</v>
      </c>
      <c r="F458" t="s">
        <v>480</v>
      </c>
      <c r="G458" t="s">
        <v>480</v>
      </c>
      <c r="H458" t="s">
        <v>82</v>
      </c>
      <c r="I458" t="s">
        <v>41</v>
      </c>
      <c r="J458" t="s">
        <v>481</v>
      </c>
      <c r="K458">
        <v>1</v>
      </c>
      <c r="L458">
        <v>0</v>
      </c>
      <c r="M458">
        <v>6319.8413574183396</v>
      </c>
      <c r="N458">
        <v>12000</v>
      </c>
      <c r="O458">
        <v>11956.742491134801</v>
      </c>
      <c r="P458" t="s">
        <v>40</v>
      </c>
      <c r="Q458">
        <v>0</v>
      </c>
      <c r="R458" t="s">
        <v>482</v>
      </c>
      <c r="S458">
        <v>1989</v>
      </c>
      <c r="T458" t="s">
        <v>40</v>
      </c>
      <c r="U458" t="s">
        <v>40</v>
      </c>
      <c r="V458" t="s">
        <v>40</v>
      </c>
      <c r="W458" t="s">
        <v>40</v>
      </c>
      <c r="X458" t="s">
        <v>41</v>
      </c>
      <c r="Y458" t="s">
        <v>41</v>
      </c>
      <c r="Z458" t="s">
        <v>43</v>
      </c>
      <c r="AA458">
        <v>946</v>
      </c>
      <c r="AB458" t="s">
        <v>40</v>
      </c>
      <c r="AC458" t="s">
        <v>520</v>
      </c>
      <c r="AD458" t="s">
        <v>520</v>
      </c>
    </row>
    <row r="459" spans="1:30" x14ac:dyDescent="0.3">
      <c r="A459">
        <v>300934</v>
      </c>
      <c r="B459">
        <v>300934</v>
      </c>
      <c r="C459">
        <v>1</v>
      </c>
      <c r="D459" t="s">
        <v>902</v>
      </c>
      <c r="E459" t="s">
        <v>902</v>
      </c>
      <c r="F459" t="s">
        <v>55</v>
      </c>
      <c r="G459" t="s">
        <v>55</v>
      </c>
      <c r="H459" t="s">
        <v>39</v>
      </c>
      <c r="I459" t="s">
        <v>40</v>
      </c>
      <c r="J459" t="s">
        <v>41</v>
      </c>
      <c r="K459">
        <v>0</v>
      </c>
      <c r="L459">
        <v>0</v>
      </c>
      <c r="M459">
        <v>0</v>
      </c>
      <c r="N459">
        <v>0</v>
      </c>
      <c r="O459">
        <v>67.136216784229603</v>
      </c>
      <c r="P459" t="s">
        <v>41</v>
      </c>
      <c r="Q459">
        <v>0</v>
      </c>
      <c r="R459" t="s">
        <v>50</v>
      </c>
      <c r="S459">
        <v>0</v>
      </c>
      <c r="T459" t="s">
        <v>40</v>
      </c>
      <c r="U459" t="s">
        <v>40</v>
      </c>
      <c r="V459" t="s">
        <v>40</v>
      </c>
      <c r="W459" t="s">
        <v>40</v>
      </c>
      <c r="X459" t="s">
        <v>41</v>
      </c>
      <c r="Y459" t="s">
        <v>41</v>
      </c>
      <c r="Z459" t="s">
        <v>43</v>
      </c>
      <c r="AA459">
        <v>1826</v>
      </c>
      <c r="AB459" t="s">
        <v>903</v>
      </c>
      <c r="AC459" t="s">
        <v>486</v>
      </c>
      <c r="AD459" t="s">
        <v>486</v>
      </c>
    </row>
    <row r="460" spans="1:30" x14ac:dyDescent="0.3">
      <c r="A460">
        <v>124389</v>
      </c>
      <c r="B460">
        <v>124389</v>
      </c>
      <c r="C460">
        <v>1</v>
      </c>
      <c r="D460" t="s">
        <v>904</v>
      </c>
      <c r="E460" t="s">
        <v>905</v>
      </c>
      <c r="F460" t="s">
        <v>479</v>
      </c>
      <c r="G460" t="s">
        <v>480</v>
      </c>
      <c r="H460" t="s">
        <v>82</v>
      </c>
      <c r="I460" t="s">
        <v>41</v>
      </c>
      <c r="J460" t="s">
        <v>897</v>
      </c>
      <c r="K460">
        <v>0</v>
      </c>
      <c r="L460">
        <v>0</v>
      </c>
      <c r="M460">
        <v>0</v>
      </c>
      <c r="N460">
        <v>13726.25</v>
      </c>
      <c r="O460">
        <v>13939.562458800299</v>
      </c>
      <c r="P460" t="s">
        <v>41</v>
      </c>
      <c r="Q460">
        <v>0</v>
      </c>
      <c r="R460" t="s">
        <v>482</v>
      </c>
      <c r="S460">
        <v>1996</v>
      </c>
      <c r="T460" t="s">
        <v>40</v>
      </c>
      <c r="U460" t="s">
        <v>40</v>
      </c>
      <c r="V460" t="s">
        <v>40</v>
      </c>
      <c r="W460" t="s">
        <v>40</v>
      </c>
      <c r="X460" t="s">
        <v>41</v>
      </c>
      <c r="Y460" t="s">
        <v>41</v>
      </c>
      <c r="Z460" t="s">
        <v>43</v>
      </c>
      <c r="AA460">
        <v>946</v>
      </c>
      <c r="AB460" t="s">
        <v>666</v>
      </c>
      <c r="AC460" t="s">
        <v>667</v>
      </c>
      <c r="AD460" t="s">
        <v>667</v>
      </c>
    </row>
    <row r="461" spans="1:30" x14ac:dyDescent="0.3">
      <c r="A461">
        <v>145585</v>
      </c>
      <c r="B461">
        <v>145585</v>
      </c>
      <c r="C461">
        <v>1</v>
      </c>
      <c r="D461" t="s">
        <v>906</v>
      </c>
      <c r="E461" t="s">
        <v>907</v>
      </c>
      <c r="F461" t="s">
        <v>480</v>
      </c>
      <c r="G461" t="s">
        <v>480</v>
      </c>
      <c r="H461" t="s">
        <v>82</v>
      </c>
      <c r="I461" t="s">
        <v>41</v>
      </c>
      <c r="J461" t="s">
        <v>908</v>
      </c>
      <c r="K461">
        <v>0</v>
      </c>
      <c r="L461">
        <v>0</v>
      </c>
      <c r="M461">
        <v>0</v>
      </c>
      <c r="N461">
        <v>2023.3399999999899</v>
      </c>
      <c r="O461">
        <v>1975.9257886493999</v>
      </c>
      <c r="P461" t="s">
        <v>41</v>
      </c>
      <c r="Q461">
        <v>0</v>
      </c>
      <c r="R461" t="s">
        <v>482</v>
      </c>
      <c r="S461">
        <v>1997</v>
      </c>
      <c r="T461" t="s">
        <v>40</v>
      </c>
      <c r="U461" t="s">
        <v>40</v>
      </c>
      <c r="V461" t="s">
        <v>40</v>
      </c>
      <c r="W461" t="s">
        <v>40</v>
      </c>
      <c r="X461" t="s">
        <v>41</v>
      </c>
      <c r="Y461" t="s">
        <v>41</v>
      </c>
      <c r="Z461" t="s">
        <v>43</v>
      </c>
      <c r="AA461">
        <v>946</v>
      </c>
      <c r="AB461" t="s">
        <v>40</v>
      </c>
      <c r="AC461" t="s">
        <v>87</v>
      </c>
      <c r="AD461" t="s">
        <v>87</v>
      </c>
    </row>
    <row r="462" spans="1:30" x14ac:dyDescent="0.3">
      <c r="A462">
        <v>29520</v>
      </c>
      <c r="B462">
        <v>29520</v>
      </c>
      <c r="C462">
        <v>1</v>
      </c>
      <c r="D462" t="s">
        <v>909</v>
      </c>
      <c r="E462" t="s">
        <v>909</v>
      </c>
      <c r="F462" t="s">
        <v>55</v>
      </c>
      <c r="G462" t="s">
        <v>55</v>
      </c>
      <c r="H462" t="s">
        <v>39</v>
      </c>
      <c r="I462" t="s">
        <v>40</v>
      </c>
      <c r="J462" t="s">
        <v>41</v>
      </c>
      <c r="K462">
        <v>0</v>
      </c>
      <c r="L462">
        <v>0</v>
      </c>
      <c r="M462">
        <v>0</v>
      </c>
      <c r="N462">
        <v>8.4</v>
      </c>
      <c r="O462">
        <v>25.764325880968599</v>
      </c>
      <c r="P462" t="s">
        <v>41</v>
      </c>
      <c r="Q462">
        <v>0</v>
      </c>
      <c r="R462" t="s">
        <v>50</v>
      </c>
      <c r="S462">
        <v>0</v>
      </c>
      <c r="T462" t="s">
        <v>40</v>
      </c>
      <c r="U462" t="s">
        <v>40</v>
      </c>
      <c r="V462" t="s">
        <v>40</v>
      </c>
      <c r="W462" t="s">
        <v>40</v>
      </c>
      <c r="X462" t="s">
        <v>41</v>
      </c>
      <c r="Y462" t="s">
        <v>41</v>
      </c>
      <c r="Z462" t="s">
        <v>43</v>
      </c>
      <c r="AA462">
        <v>1826</v>
      </c>
      <c r="AB462" t="s">
        <v>903</v>
      </c>
      <c r="AC462" t="s">
        <v>486</v>
      </c>
      <c r="AD462" t="s">
        <v>486</v>
      </c>
    </row>
    <row r="463" spans="1:30" x14ac:dyDescent="0.3">
      <c r="A463">
        <v>300959</v>
      </c>
      <c r="B463">
        <v>300959</v>
      </c>
      <c r="C463">
        <v>1</v>
      </c>
      <c r="D463" t="s">
        <v>910</v>
      </c>
      <c r="E463" t="s">
        <v>910</v>
      </c>
      <c r="F463" t="s">
        <v>55</v>
      </c>
      <c r="G463" t="s">
        <v>55</v>
      </c>
      <c r="H463" t="s">
        <v>39</v>
      </c>
      <c r="I463" t="s">
        <v>40</v>
      </c>
      <c r="J463" t="s">
        <v>41</v>
      </c>
      <c r="K463">
        <v>0</v>
      </c>
      <c r="L463">
        <v>0</v>
      </c>
      <c r="M463">
        <v>0</v>
      </c>
      <c r="N463">
        <v>0</v>
      </c>
      <c r="O463">
        <v>62.757913672790103</v>
      </c>
      <c r="P463" t="s">
        <v>41</v>
      </c>
      <c r="Q463">
        <v>0</v>
      </c>
      <c r="R463" t="s">
        <v>50</v>
      </c>
      <c r="S463">
        <v>0</v>
      </c>
      <c r="T463" t="s">
        <v>40</v>
      </c>
      <c r="U463" t="s">
        <v>40</v>
      </c>
      <c r="V463" t="s">
        <v>40</v>
      </c>
      <c r="W463" t="s">
        <v>40</v>
      </c>
      <c r="X463" t="s">
        <v>41</v>
      </c>
      <c r="Y463" t="s">
        <v>41</v>
      </c>
      <c r="Z463" t="s">
        <v>43</v>
      </c>
      <c r="AA463">
        <v>1826</v>
      </c>
      <c r="AB463" t="s">
        <v>911</v>
      </c>
      <c r="AC463" t="s">
        <v>486</v>
      </c>
      <c r="AD463" t="s">
        <v>486</v>
      </c>
    </row>
    <row r="464" spans="1:30" x14ac:dyDescent="0.3">
      <c r="A464">
        <v>29515</v>
      </c>
      <c r="B464">
        <v>29515</v>
      </c>
      <c r="C464">
        <v>1</v>
      </c>
      <c r="D464" t="s">
        <v>912</v>
      </c>
      <c r="E464" t="s">
        <v>912</v>
      </c>
      <c r="F464" t="s">
        <v>55</v>
      </c>
      <c r="G464" t="s">
        <v>55</v>
      </c>
      <c r="H464" t="s">
        <v>39</v>
      </c>
      <c r="I464" t="s">
        <v>40</v>
      </c>
      <c r="J464" t="s">
        <v>41</v>
      </c>
      <c r="K464">
        <v>0</v>
      </c>
      <c r="L464">
        <v>0</v>
      </c>
      <c r="M464">
        <v>0</v>
      </c>
      <c r="N464">
        <v>27</v>
      </c>
      <c r="O464">
        <v>18.436320562193501</v>
      </c>
      <c r="P464" t="s">
        <v>41</v>
      </c>
      <c r="Q464">
        <v>0</v>
      </c>
      <c r="R464" t="s">
        <v>50</v>
      </c>
      <c r="S464">
        <v>0</v>
      </c>
      <c r="T464" t="s">
        <v>40</v>
      </c>
      <c r="U464" t="s">
        <v>40</v>
      </c>
      <c r="V464" t="s">
        <v>40</v>
      </c>
      <c r="W464" t="s">
        <v>40</v>
      </c>
      <c r="X464" t="s">
        <v>41</v>
      </c>
      <c r="Y464" t="s">
        <v>41</v>
      </c>
      <c r="Z464" t="s">
        <v>43</v>
      </c>
      <c r="AA464">
        <v>1826</v>
      </c>
      <c r="AB464" t="s">
        <v>913</v>
      </c>
      <c r="AC464" t="s">
        <v>486</v>
      </c>
      <c r="AD464" t="s">
        <v>486</v>
      </c>
    </row>
    <row r="465" spans="1:30" x14ac:dyDescent="0.3">
      <c r="A465">
        <v>29583</v>
      </c>
      <c r="B465">
        <v>29583</v>
      </c>
      <c r="C465">
        <v>1</v>
      </c>
      <c r="D465" t="s">
        <v>914</v>
      </c>
      <c r="E465" t="s">
        <v>914</v>
      </c>
      <c r="F465" t="s">
        <v>55</v>
      </c>
      <c r="G465" t="s">
        <v>55</v>
      </c>
      <c r="H465" t="s">
        <v>39</v>
      </c>
      <c r="I465" t="s">
        <v>40</v>
      </c>
      <c r="J465" t="s">
        <v>41</v>
      </c>
      <c r="K465">
        <v>0</v>
      </c>
      <c r="L465">
        <v>0</v>
      </c>
      <c r="M465">
        <v>0</v>
      </c>
      <c r="N465">
        <v>224</v>
      </c>
      <c r="O465">
        <v>536.82208073890104</v>
      </c>
      <c r="P465" t="s">
        <v>41</v>
      </c>
      <c r="Q465">
        <v>0</v>
      </c>
      <c r="R465" t="s">
        <v>50</v>
      </c>
      <c r="S465">
        <v>0</v>
      </c>
      <c r="T465" t="s">
        <v>40</v>
      </c>
      <c r="U465" t="s">
        <v>40</v>
      </c>
      <c r="V465" t="s">
        <v>40</v>
      </c>
      <c r="W465" t="s">
        <v>40</v>
      </c>
      <c r="X465" t="s">
        <v>41</v>
      </c>
      <c r="Y465" t="s">
        <v>41</v>
      </c>
      <c r="Z465" t="s">
        <v>43</v>
      </c>
      <c r="AA465">
        <v>1826</v>
      </c>
      <c r="AB465" t="s">
        <v>915</v>
      </c>
      <c r="AC465" t="s">
        <v>486</v>
      </c>
      <c r="AD465" t="s">
        <v>486</v>
      </c>
    </row>
    <row r="466" spans="1:30" x14ac:dyDescent="0.3">
      <c r="A466">
        <v>29636</v>
      </c>
      <c r="B466">
        <v>29636</v>
      </c>
      <c r="C466">
        <v>1</v>
      </c>
      <c r="D466" t="s">
        <v>916</v>
      </c>
      <c r="E466" t="s">
        <v>916</v>
      </c>
      <c r="F466" t="s">
        <v>55</v>
      </c>
      <c r="G466" t="s">
        <v>55</v>
      </c>
      <c r="H466" t="s">
        <v>39</v>
      </c>
      <c r="I466" t="s">
        <v>40</v>
      </c>
      <c r="J466" t="s">
        <v>41</v>
      </c>
      <c r="K466">
        <v>0</v>
      </c>
      <c r="L466">
        <v>0</v>
      </c>
      <c r="M466">
        <v>0</v>
      </c>
      <c r="N466">
        <v>1094</v>
      </c>
      <c r="O466">
        <v>1476.2957181474901</v>
      </c>
      <c r="P466" t="s">
        <v>41</v>
      </c>
      <c r="Q466">
        <v>0</v>
      </c>
      <c r="R466" t="s">
        <v>50</v>
      </c>
      <c r="S466">
        <v>0</v>
      </c>
      <c r="T466" t="s">
        <v>40</v>
      </c>
      <c r="U466" t="s">
        <v>40</v>
      </c>
      <c r="V466" t="s">
        <v>40</v>
      </c>
      <c r="W466" t="s">
        <v>40</v>
      </c>
      <c r="X466" t="s">
        <v>41</v>
      </c>
      <c r="Y466" t="s">
        <v>41</v>
      </c>
      <c r="Z466" t="s">
        <v>43</v>
      </c>
      <c r="AA466">
        <v>1826</v>
      </c>
      <c r="AB466" t="s">
        <v>917</v>
      </c>
      <c r="AC466" t="s">
        <v>486</v>
      </c>
      <c r="AD466" t="s">
        <v>486</v>
      </c>
    </row>
    <row r="467" spans="1:30" x14ac:dyDescent="0.3">
      <c r="A467">
        <v>300861</v>
      </c>
      <c r="B467">
        <v>300861</v>
      </c>
      <c r="C467">
        <v>1</v>
      </c>
      <c r="D467" t="s">
        <v>918</v>
      </c>
      <c r="E467" t="s">
        <v>918</v>
      </c>
      <c r="F467" t="s">
        <v>55</v>
      </c>
      <c r="G467" t="s">
        <v>55</v>
      </c>
      <c r="H467" t="s">
        <v>39</v>
      </c>
      <c r="I467" t="s">
        <v>40</v>
      </c>
      <c r="J467" t="s">
        <v>41</v>
      </c>
      <c r="K467">
        <v>0</v>
      </c>
      <c r="L467">
        <v>0</v>
      </c>
      <c r="M467">
        <v>0</v>
      </c>
      <c r="N467">
        <v>0</v>
      </c>
      <c r="O467">
        <v>63.905336018159502</v>
      </c>
      <c r="P467" t="s">
        <v>41</v>
      </c>
      <c r="Q467">
        <v>0</v>
      </c>
      <c r="R467" t="s">
        <v>50</v>
      </c>
      <c r="S467">
        <v>0</v>
      </c>
      <c r="T467" t="s">
        <v>40</v>
      </c>
      <c r="U467" t="s">
        <v>40</v>
      </c>
      <c r="V467" t="s">
        <v>40</v>
      </c>
      <c r="W467" t="s">
        <v>40</v>
      </c>
      <c r="X467" t="s">
        <v>41</v>
      </c>
      <c r="Y467" t="s">
        <v>41</v>
      </c>
      <c r="Z467" t="s">
        <v>43</v>
      </c>
      <c r="AA467">
        <v>1826</v>
      </c>
      <c r="AB467" t="s">
        <v>919</v>
      </c>
      <c r="AC467" t="s">
        <v>486</v>
      </c>
      <c r="AD467" t="s">
        <v>486</v>
      </c>
    </row>
    <row r="468" spans="1:30" x14ac:dyDescent="0.3">
      <c r="A468">
        <v>300900</v>
      </c>
      <c r="B468">
        <v>300900</v>
      </c>
      <c r="C468">
        <v>1</v>
      </c>
      <c r="D468" t="s">
        <v>920</v>
      </c>
      <c r="E468" t="s">
        <v>920</v>
      </c>
      <c r="F468" t="s">
        <v>55</v>
      </c>
      <c r="G468" t="s">
        <v>55</v>
      </c>
      <c r="H468" t="s">
        <v>39</v>
      </c>
      <c r="I468" t="s">
        <v>40</v>
      </c>
      <c r="J468" t="s">
        <v>41</v>
      </c>
      <c r="K468">
        <v>0</v>
      </c>
      <c r="L468">
        <v>0</v>
      </c>
      <c r="M468">
        <v>0</v>
      </c>
      <c r="N468">
        <v>0</v>
      </c>
      <c r="O468">
        <v>90.4481001095794</v>
      </c>
      <c r="P468" t="s">
        <v>41</v>
      </c>
      <c r="Q468">
        <v>0</v>
      </c>
      <c r="R468" t="s">
        <v>50</v>
      </c>
      <c r="S468">
        <v>0</v>
      </c>
      <c r="T468" t="s">
        <v>40</v>
      </c>
      <c r="U468" t="s">
        <v>40</v>
      </c>
      <c r="V468" t="s">
        <v>40</v>
      </c>
      <c r="W468" t="s">
        <v>40</v>
      </c>
      <c r="X468" t="s">
        <v>41</v>
      </c>
      <c r="Y468" t="s">
        <v>41</v>
      </c>
      <c r="Z468" t="s">
        <v>43</v>
      </c>
      <c r="AA468">
        <v>1826</v>
      </c>
      <c r="AB468" t="s">
        <v>919</v>
      </c>
      <c r="AC468" t="s">
        <v>486</v>
      </c>
      <c r="AD468" t="s">
        <v>486</v>
      </c>
    </row>
    <row r="469" spans="1:30" x14ac:dyDescent="0.3">
      <c r="A469">
        <v>300919</v>
      </c>
      <c r="B469">
        <v>300919</v>
      </c>
      <c r="C469">
        <v>1</v>
      </c>
      <c r="D469" t="s">
        <v>921</v>
      </c>
      <c r="E469" t="s">
        <v>921</v>
      </c>
      <c r="F469" t="s">
        <v>55</v>
      </c>
      <c r="G469" t="s">
        <v>55</v>
      </c>
      <c r="H469" t="s">
        <v>39</v>
      </c>
      <c r="I469" t="s">
        <v>40</v>
      </c>
      <c r="J469" t="s">
        <v>41</v>
      </c>
      <c r="K469">
        <v>0</v>
      </c>
      <c r="L469">
        <v>0</v>
      </c>
      <c r="M469">
        <v>0</v>
      </c>
      <c r="N469">
        <v>0</v>
      </c>
      <c r="O469">
        <v>132.219902454622</v>
      </c>
      <c r="P469" t="s">
        <v>41</v>
      </c>
      <c r="Q469">
        <v>0</v>
      </c>
      <c r="R469" t="s">
        <v>50</v>
      </c>
      <c r="S469">
        <v>0</v>
      </c>
      <c r="T469" t="s">
        <v>40</v>
      </c>
      <c r="U469" t="s">
        <v>40</v>
      </c>
      <c r="V469" t="s">
        <v>40</v>
      </c>
      <c r="W469" t="s">
        <v>40</v>
      </c>
      <c r="X469" t="s">
        <v>41</v>
      </c>
      <c r="Y469" t="s">
        <v>41</v>
      </c>
      <c r="Z469" t="s">
        <v>43</v>
      </c>
      <c r="AA469">
        <v>1826</v>
      </c>
      <c r="AB469" t="s">
        <v>903</v>
      </c>
      <c r="AC469" t="s">
        <v>486</v>
      </c>
      <c r="AD469" t="s">
        <v>486</v>
      </c>
    </row>
    <row r="470" spans="1:30" x14ac:dyDescent="0.3">
      <c r="A470">
        <v>300931</v>
      </c>
      <c r="B470">
        <v>300931</v>
      </c>
      <c r="C470">
        <v>1</v>
      </c>
      <c r="D470" t="s">
        <v>922</v>
      </c>
      <c r="E470" t="s">
        <v>922</v>
      </c>
      <c r="F470" t="s">
        <v>55</v>
      </c>
      <c r="G470" t="s">
        <v>55</v>
      </c>
      <c r="H470" t="s">
        <v>39</v>
      </c>
      <c r="I470" t="s">
        <v>40</v>
      </c>
      <c r="J470" t="s">
        <v>41</v>
      </c>
      <c r="K470">
        <v>0</v>
      </c>
      <c r="L470">
        <v>0</v>
      </c>
      <c r="M470">
        <v>0</v>
      </c>
      <c r="N470">
        <v>0</v>
      </c>
      <c r="O470">
        <v>158.39844199081099</v>
      </c>
      <c r="P470" t="s">
        <v>41</v>
      </c>
      <c r="Q470">
        <v>0</v>
      </c>
      <c r="R470" t="s">
        <v>50</v>
      </c>
      <c r="S470">
        <v>0</v>
      </c>
      <c r="T470" t="s">
        <v>40</v>
      </c>
      <c r="U470" t="s">
        <v>40</v>
      </c>
      <c r="V470" t="s">
        <v>40</v>
      </c>
      <c r="W470" t="s">
        <v>40</v>
      </c>
      <c r="X470" t="s">
        <v>41</v>
      </c>
      <c r="Y470" t="s">
        <v>41</v>
      </c>
      <c r="Z470" t="s">
        <v>43</v>
      </c>
      <c r="AA470">
        <v>1826</v>
      </c>
      <c r="AB470" t="s">
        <v>913</v>
      </c>
      <c r="AC470" t="s">
        <v>486</v>
      </c>
      <c r="AD470" t="s">
        <v>486</v>
      </c>
    </row>
    <row r="471" spans="1:30" x14ac:dyDescent="0.3">
      <c r="A471">
        <v>300938</v>
      </c>
      <c r="B471">
        <v>300938</v>
      </c>
      <c r="C471">
        <v>1</v>
      </c>
      <c r="D471" t="s">
        <v>923</v>
      </c>
      <c r="E471" t="s">
        <v>923</v>
      </c>
      <c r="F471" t="s">
        <v>55</v>
      </c>
      <c r="G471" t="s">
        <v>55</v>
      </c>
      <c r="H471" t="s">
        <v>39</v>
      </c>
      <c r="I471" t="s">
        <v>40</v>
      </c>
      <c r="J471" t="s">
        <v>41</v>
      </c>
      <c r="K471">
        <v>0</v>
      </c>
      <c r="L471">
        <v>0</v>
      </c>
      <c r="M471">
        <v>0</v>
      </c>
      <c r="N471">
        <v>0</v>
      </c>
      <c r="O471">
        <v>377.54207715000001</v>
      </c>
      <c r="P471" t="s">
        <v>41</v>
      </c>
      <c r="Q471">
        <v>0</v>
      </c>
      <c r="R471" t="s">
        <v>50</v>
      </c>
      <c r="S471">
        <v>0</v>
      </c>
      <c r="T471" t="s">
        <v>40</v>
      </c>
      <c r="U471" t="s">
        <v>40</v>
      </c>
      <c r="V471" t="s">
        <v>40</v>
      </c>
      <c r="W471" t="s">
        <v>40</v>
      </c>
      <c r="X471" t="s">
        <v>41</v>
      </c>
      <c r="Y471" t="s">
        <v>41</v>
      </c>
      <c r="Z471" t="s">
        <v>43</v>
      </c>
      <c r="AA471">
        <v>1826</v>
      </c>
      <c r="AB471" t="s">
        <v>913</v>
      </c>
      <c r="AC471" t="s">
        <v>486</v>
      </c>
      <c r="AD471" t="s">
        <v>486</v>
      </c>
    </row>
    <row r="472" spans="1:30" x14ac:dyDescent="0.3">
      <c r="A472">
        <v>300945</v>
      </c>
      <c r="B472">
        <v>300945</v>
      </c>
      <c r="C472">
        <v>1</v>
      </c>
      <c r="D472" t="s">
        <v>924</v>
      </c>
      <c r="E472" t="s">
        <v>924</v>
      </c>
      <c r="F472" t="s">
        <v>55</v>
      </c>
      <c r="G472" t="s">
        <v>55</v>
      </c>
      <c r="H472" t="s">
        <v>39</v>
      </c>
      <c r="I472" t="s">
        <v>40</v>
      </c>
      <c r="J472" t="s">
        <v>41</v>
      </c>
      <c r="K472">
        <v>0</v>
      </c>
      <c r="L472">
        <v>0</v>
      </c>
      <c r="M472">
        <v>0</v>
      </c>
      <c r="N472">
        <v>0</v>
      </c>
      <c r="O472">
        <v>33.795978503405102</v>
      </c>
      <c r="P472" t="s">
        <v>41</v>
      </c>
      <c r="Q472">
        <v>0</v>
      </c>
      <c r="R472" t="s">
        <v>50</v>
      </c>
      <c r="S472">
        <v>0</v>
      </c>
      <c r="T472" t="s">
        <v>40</v>
      </c>
      <c r="U472" t="s">
        <v>40</v>
      </c>
      <c r="V472" t="s">
        <v>40</v>
      </c>
      <c r="W472" t="s">
        <v>40</v>
      </c>
      <c r="X472" t="s">
        <v>41</v>
      </c>
      <c r="Y472" t="s">
        <v>41</v>
      </c>
      <c r="Z472" t="s">
        <v>43</v>
      </c>
      <c r="AA472">
        <v>1826</v>
      </c>
      <c r="AB472" t="s">
        <v>913</v>
      </c>
      <c r="AC472" t="s">
        <v>486</v>
      </c>
      <c r="AD472" t="s">
        <v>486</v>
      </c>
    </row>
    <row r="473" spans="1:30" x14ac:dyDescent="0.3">
      <c r="A473">
        <v>300954</v>
      </c>
      <c r="B473">
        <v>300954</v>
      </c>
      <c r="C473">
        <v>1</v>
      </c>
      <c r="D473" t="s">
        <v>925</v>
      </c>
      <c r="E473" t="s">
        <v>925</v>
      </c>
      <c r="F473" t="s">
        <v>55</v>
      </c>
      <c r="G473" t="s">
        <v>55</v>
      </c>
      <c r="H473" t="s">
        <v>39</v>
      </c>
      <c r="I473" t="s">
        <v>40</v>
      </c>
      <c r="J473" t="s">
        <v>41</v>
      </c>
      <c r="K473">
        <v>0</v>
      </c>
      <c r="L473">
        <v>0</v>
      </c>
      <c r="M473">
        <v>0</v>
      </c>
      <c r="N473">
        <v>0</v>
      </c>
      <c r="O473">
        <v>96.610963285113101</v>
      </c>
      <c r="P473" t="s">
        <v>41</v>
      </c>
      <c r="Q473">
        <v>0</v>
      </c>
      <c r="R473" t="s">
        <v>50</v>
      </c>
      <c r="S473">
        <v>0</v>
      </c>
      <c r="T473" t="s">
        <v>40</v>
      </c>
      <c r="U473" t="s">
        <v>40</v>
      </c>
      <c r="V473" t="s">
        <v>40</v>
      </c>
      <c r="W473" t="s">
        <v>40</v>
      </c>
      <c r="X473" t="s">
        <v>41</v>
      </c>
      <c r="Y473" t="s">
        <v>41</v>
      </c>
      <c r="Z473" t="s">
        <v>43</v>
      </c>
      <c r="AA473">
        <v>1826</v>
      </c>
      <c r="AB473" t="s">
        <v>903</v>
      </c>
      <c r="AC473" t="s">
        <v>486</v>
      </c>
      <c r="AD473" t="s">
        <v>486</v>
      </c>
    </row>
    <row r="474" spans="1:30" x14ac:dyDescent="0.3">
      <c r="A474">
        <v>29600</v>
      </c>
      <c r="B474">
        <v>29600</v>
      </c>
      <c r="C474">
        <v>1</v>
      </c>
      <c r="D474" t="s">
        <v>926</v>
      </c>
      <c r="E474" t="s">
        <v>926</v>
      </c>
      <c r="F474" t="s">
        <v>55</v>
      </c>
      <c r="G474" t="s">
        <v>55</v>
      </c>
      <c r="H474" t="s">
        <v>39</v>
      </c>
      <c r="I474" t="s">
        <v>40</v>
      </c>
      <c r="J474" t="s">
        <v>41</v>
      </c>
      <c r="K474">
        <v>0</v>
      </c>
      <c r="L474">
        <v>0</v>
      </c>
      <c r="M474">
        <v>0</v>
      </c>
      <c r="N474">
        <v>142</v>
      </c>
      <c r="O474">
        <v>125.425635593807</v>
      </c>
      <c r="P474" t="s">
        <v>41</v>
      </c>
      <c r="Q474">
        <v>0</v>
      </c>
      <c r="R474" t="s">
        <v>50</v>
      </c>
      <c r="S474">
        <v>0</v>
      </c>
      <c r="T474" t="s">
        <v>40</v>
      </c>
      <c r="U474" t="s">
        <v>40</v>
      </c>
      <c r="V474" t="s">
        <v>40</v>
      </c>
      <c r="W474" t="s">
        <v>40</v>
      </c>
      <c r="X474" t="s">
        <v>41</v>
      </c>
      <c r="Y474" t="s">
        <v>41</v>
      </c>
      <c r="Z474" t="s">
        <v>43</v>
      </c>
      <c r="AA474">
        <v>1826</v>
      </c>
      <c r="AB474" t="s">
        <v>488</v>
      </c>
      <c r="AC474" t="s">
        <v>486</v>
      </c>
      <c r="AD474" t="s">
        <v>486</v>
      </c>
    </row>
    <row r="475" spans="1:30" x14ac:dyDescent="0.3">
      <c r="A475">
        <v>300787</v>
      </c>
      <c r="B475">
        <v>300787</v>
      </c>
      <c r="C475">
        <v>1</v>
      </c>
      <c r="D475" t="s">
        <v>927</v>
      </c>
      <c r="E475" t="s">
        <v>927</v>
      </c>
      <c r="F475" t="s">
        <v>55</v>
      </c>
      <c r="G475" t="s">
        <v>55</v>
      </c>
      <c r="H475" t="s">
        <v>39</v>
      </c>
      <c r="I475" t="s">
        <v>40</v>
      </c>
      <c r="J475" t="s">
        <v>41</v>
      </c>
      <c r="K475">
        <v>0</v>
      </c>
      <c r="L475">
        <v>0</v>
      </c>
      <c r="M475">
        <v>0</v>
      </c>
      <c r="N475">
        <v>0</v>
      </c>
      <c r="O475">
        <v>59.944110112698802</v>
      </c>
      <c r="P475" t="s">
        <v>41</v>
      </c>
      <c r="Q475">
        <v>0</v>
      </c>
      <c r="R475" t="s">
        <v>50</v>
      </c>
      <c r="S475">
        <v>0</v>
      </c>
      <c r="T475" t="s">
        <v>40</v>
      </c>
      <c r="U475" t="s">
        <v>40</v>
      </c>
      <c r="V475" t="s">
        <v>40</v>
      </c>
      <c r="W475" t="s">
        <v>40</v>
      </c>
      <c r="X475" t="s">
        <v>41</v>
      </c>
      <c r="Y475" t="s">
        <v>41</v>
      </c>
      <c r="Z475" t="s">
        <v>43</v>
      </c>
      <c r="AA475">
        <v>1826</v>
      </c>
      <c r="AB475" t="s">
        <v>488</v>
      </c>
      <c r="AC475" t="s">
        <v>486</v>
      </c>
      <c r="AD475" t="s">
        <v>486</v>
      </c>
    </row>
    <row r="476" spans="1:30" x14ac:dyDescent="0.3">
      <c r="A476">
        <v>300791</v>
      </c>
      <c r="B476">
        <v>300791</v>
      </c>
      <c r="C476">
        <v>1</v>
      </c>
      <c r="D476" t="s">
        <v>928</v>
      </c>
      <c r="E476" t="s">
        <v>928</v>
      </c>
      <c r="F476" t="s">
        <v>55</v>
      </c>
      <c r="G476" t="s">
        <v>55</v>
      </c>
      <c r="H476" t="s">
        <v>39</v>
      </c>
      <c r="I476" t="s">
        <v>40</v>
      </c>
      <c r="J476" t="s">
        <v>41</v>
      </c>
      <c r="K476">
        <v>0</v>
      </c>
      <c r="L476">
        <v>0</v>
      </c>
      <c r="M476">
        <v>0</v>
      </c>
      <c r="N476">
        <v>0</v>
      </c>
      <c r="O476">
        <v>18.458062702521101</v>
      </c>
      <c r="P476" t="s">
        <v>41</v>
      </c>
      <c r="Q476">
        <v>0</v>
      </c>
      <c r="R476" t="s">
        <v>50</v>
      </c>
      <c r="S476">
        <v>0</v>
      </c>
      <c r="T476" t="s">
        <v>40</v>
      </c>
      <c r="U476" t="s">
        <v>40</v>
      </c>
      <c r="V476" t="s">
        <v>40</v>
      </c>
      <c r="W476" t="s">
        <v>40</v>
      </c>
      <c r="X476" t="s">
        <v>41</v>
      </c>
      <c r="Y476" t="s">
        <v>41</v>
      </c>
      <c r="Z476" t="s">
        <v>43</v>
      </c>
      <c r="AA476">
        <v>1826</v>
      </c>
      <c r="AB476" t="s">
        <v>488</v>
      </c>
      <c r="AC476" t="s">
        <v>486</v>
      </c>
      <c r="AD476" t="s">
        <v>486</v>
      </c>
    </row>
    <row r="477" spans="1:30" x14ac:dyDescent="0.3">
      <c r="A477">
        <v>300792</v>
      </c>
      <c r="B477">
        <v>300792</v>
      </c>
      <c r="C477">
        <v>1</v>
      </c>
      <c r="D477" t="s">
        <v>929</v>
      </c>
      <c r="E477" t="s">
        <v>929</v>
      </c>
      <c r="F477" t="s">
        <v>55</v>
      </c>
      <c r="G477" t="s">
        <v>55</v>
      </c>
      <c r="H477" t="s">
        <v>39</v>
      </c>
      <c r="I477" t="s">
        <v>40</v>
      </c>
      <c r="J477" t="s">
        <v>41</v>
      </c>
      <c r="K477">
        <v>0</v>
      </c>
      <c r="L477">
        <v>0</v>
      </c>
      <c r="M477">
        <v>0</v>
      </c>
      <c r="N477">
        <v>0</v>
      </c>
      <c r="O477">
        <v>1470.5830413137501</v>
      </c>
      <c r="P477" t="s">
        <v>41</v>
      </c>
      <c r="Q477">
        <v>0</v>
      </c>
      <c r="R477" t="s">
        <v>50</v>
      </c>
      <c r="S477">
        <v>0</v>
      </c>
      <c r="T477" t="s">
        <v>40</v>
      </c>
      <c r="U477" t="s">
        <v>40</v>
      </c>
      <c r="V477" t="s">
        <v>40</v>
      </c>
      <c r="W477" t="s">
        <v>40</v>
      </c>
      <c r="X477" t="s">
        <v>41</v>
      </c>
      <c r="Y477" t="s">
        <v>41</v>
      </c>
      <c r="Z477" t="s">
        <v>43</v>
      </c>
      <c r="AA477">
        <v>1826</v>
      </c>
      <c r="AB477" t="s">
        <v>488</v>
      </c>
      <c r="AC477" t="s">
        <v>486</v>
      </c>
      <c r="AD477" t="s">
        <v>486</v>
      </c>
    </row>
    <row r="478" spans="1:30" x14ac:dyDescent="0.3">
      <c r="A478">
        <v>300802</v>
      </c>
      <c r="B478">
        <v>300802</v>
      </c>
      <c r="C478">
        <v>1</v>
      </c>
      <c r="D478" t="s">
        <v>930</v>
      </c>
      <c r="E478" t="s">
        <v>930</v>
      </c>
      <c r="F478" t="s">
        <v>55</v>
      </c>
      <c r="G478" t="s">
        <v>55</v>
      </c>
      <c r="H478" t="s">
        <v>39</v>
      </c>
      <c r="I478" t="s">
        <v>40</v>
      </c>
      <c r="J478" t="s">
        <v>41</v>
      </c>
      <c r="K478">
        <v>0</v>
      </c>
      <c r="L478">
        <v>0</v>
      </c>
      <c r="M478">
        <v>0</v>
      </c>
      <c r="N478">
        <v>0</v>
      </c>
      <c r="O478">
        <v>8.9978967456686707</v>
      </c>
      <c r="P478" t="s">
        <v>41</v>
      </c>
      <c r="Q478">
        <v>0</v>
      </c>
      <c r="R478" t="s">
        <v>50</v>
      </c>
      <c r="S478">
        <v>0</v>
      </c>
      <c r="T478" t="s">
        <v>40</v>
      </c>
      <c r="U478" t="s">
        <v>40</v>
      </c>
      <c r="V478" t="s">
        <v>40</v>
      </c>
      <c r="W478" t="s">
        <v>40</v>
      </c>
      <c r="X478" t="s">
        <v>41</v>
      </c>
      <c r="Y478" t="s">
        <v>41</v>
      </c>
      <c r="Z478" t="s">
        <v>43</v>
      </c>
      <c r="AA478">
        <v>1826</v>
      </c>
      <c r="AB478" t="s">
        <v>488</v>
      </c>
      <c r="AC478" t="s">
        <v>486</v>
      </c>
      <c r="AD478" t="s">
        <v>486</v>
      </c>
    </row>
    <row r="479" spans="1:30" x14ac:dyDescent="0.3">
      <c r="A479">
        <v>300805</v>
      </c>
      <c r="B479">
        <v>300805</v>
      </c>
      <c r="C479">
        <v>1</v>
      </c>
      <c r="D479" t="s">
        <v>931</v>
      </c>
      <c r="E479" t="s">
        <v>931</v>
      </c>
      <c r="F479" t="s">
        <v>55</v>
      </c>
      <c r="G479" t="s">
        <v>55</v>
      </c>
      <c r="H479" t="s">
        <v>39</v>
      </c>
      <c r="I479" t="s">
        <v>40</v>
      </c>
      <c r="J479" t="s">
        <v>41</v>
      </c>
      <c r="K479">
        <v>0</v>
      </c>
      <c r="L479">
        <v>0</v>
      </c>
      <c r="M479">
        <v>0</v>
      </c>
      <c r="N479">
        <v>0</v>
      </c>
      <c r="O479">
        <v>24.853174935426502</v>
      </c>
      <c r="P479" t="s">
        <v>41</v>
      </c>
      <c r="Q479">
        <v>0</v>
      </c>
      <c r="R479" t="s">
        <v>50</v>
      </c>
      <c r="S479">
        <v>0</v>
      </c>
      <c r="T479" t="s">
        <v>40</v>
      </c>
      <c r="U479" t="s">
        <v>40</v>
      </c>
      <c r="V479" t="s">
        <v>40</v>
      </c>
      <c r="W479" t="s">
        <v>40</v>
      </c>
      <c r="X479" t="s">
        <v>41</v>
      </c>
      <c r="Y479" t="s">
        <v>41</v>
      </c>
      <c r="Z479" t="s">
        <v>43</v>
      </c>
      <c r="AA479">
        <v>1826</v>
      </c>
      <c r="AB479" t="s">
        <v>488</v>
      </c>
      <c r="AC479" t="s">
        <v>486</v>
      </c>
      <c r="AD479" t="s">
        <v>486</v>
      </c>
    </row>
    <row r="480" spans="1:30" x14ac:dyDescent="0.3">
      <c r="A480">
        <v>300816</v>
      </c>
      <c r="B480">
        <v>300816</v>
      </c>
      <c r="C480">
        <v>1</v>
      </c>
      <c r="D480" t="s">
        <v>932</v>
      </c>
      <c r="E480" t="s">
        <v>932</v>
      </c>
      <c r="F480" t="s">
        <v>55</v>
      </c>
      <c r="G480" t="s">
        <v>55</v>
      </c>
      <c r="H480" t="s">
        <v>39</v>
      </c>
      <c r="I480" t="s">
        <v>40</v>
      </c>
      <c r="J480" t="s">
        <v>41</v>
      </c>
      <c r="K480">
        <v>0</v>
      </c>
      <c r="L480">
        <v>0</v>
      </c>
      <c r="M480">
        <v>0</v>
      </c>
      <c r="N480">
        <v>0</v>
      </c>
      <c r="O480">
        <v>8.6030452637907295</v>
      </c>
      <c r="P480" t="s">
        <v>41</v>
      </c>
      <c r="Q480">
        <v>0</v>
      </c>
      <c r="R480" t="s">
        <v>50</v>
      </c>
      <c r="S480">
        <v>0</v>
      </c>
      <c r="T480" t="s">
        <v>40</v>
      </c>
      <c r="U480" t="s">
        <v>40</v>
      </c>
      <c r="V480" t="s">
        <v>40</v>
      </c>
      <c r="W480" t="s">
        <v>40</v>
      </c>
      <c r="X480" t="s">
        <v>41</v>
      </c>
      <c r="Y480" t="s">
        <v>41</v>
      </c>
      <c r="Z480" t="s">
        <v>43</v>
      </c>
      <c r="AA480">
        <v>1826</v>
      </c>
      <c r="AB480" t="s">
        <v>488</v>
      </c>
      <c r="AC480" t="s">
        <v>486</v>
      </c>
      <c r="AD480" t="s">
        <v>486</v>
      </c>
    </row>
    <row r="481" spans="1:30" x14ac:dyDescent="0.3">
      <c r="A481">
        <v>7602</v>
      </c>
      <c r="B481">
        <v>7602</v>
      </c>
      <c r="C481">
        <v>1</v>
      </c>
      <c r="D481" t="s">
        <v>933</v>
      </c>
      <c r="E481" t="s">
        <v>933</v>
      </c>
      <c r="F481" t="s">
        <v>102</v>
      </c>
      <c r="G481" t="s">
        <v>102</v>
      </c>
      <c r="H481" t="s">
        <v>39</v>
      </c>
      <c r="I481" t="s">
        <v>40</v>
      </c>
      <c r="J481" t="s">
        <v>41</v>
      </c>
      <c r="K481">
        <v>0</v>
      </c>
      <c r="L481">
        <v>0</v>
      </c>
      <c r="M481">
        <v>0</v>
      </c>
      <c r="N481">
        <v>383.11709999999903</v>
      </c>
      <c r="O481">
        <v>373.83645521436301</v>
      </c>
      <c r="P481" t="s">
        <v>41</v>
      </c>
      <c r="Q481">
        <v>0</v>
      </c>
      <c r="R481" t="s">
        <v>50</v>
      </c>
      <c r="S481">
        <v>1943</v>
      </c>
      <c r="T481" t="s">
        <v>66</v>
      </c>
      <c r="U481" t="s">
        <v>51</v>
      </c>
      <c r="V481" t="s">
        <v>493</v>
      </c>
      <c r="W481" t="s">
        <v>40</v>
      </c>
      <c r="X481" t="s">
        <v>41</v>
      </c>
      <c r="Y481" t="s">
        <v>41</v>
      </c>
      <c r="Z481" t="s">
        <v>43</v>
      </c>
      <c r="AA481">
        <v>178</v>
      </c>
      <c r="AB481" t="s">
        <v>40</v>
      </c>
      <c r="AC481" t="s">
        <v>87</v>
      </c>
      <c r="AD481" t="s">
        <v>87</v>
      </c>
    </row>
    <row r="482" spans="1:30" x14ac:dyDescent="0.3">
      <c r="A482">
        <v>903024</v>
      </c>
      <c r="B482">
        <v>903024</v>
      </c>
      <c r="C482">
        <v>1</v>
      </c>
      <c r="D482" t="s">
        <v>934</v>
      </c>
      <c r="E482" t="s">
        <v>934</v>
      </c>
      <c r="F482" t="s">
        <v>116</v>
      </c>
      <c r="G482" t="s">
        <v>116</v>
      </c>
      <c r="H482" t="s">
        <v>82</v>
      </c>
      <c r="I482" t="s">
        <v>40</v>
      </c>
      <c r="J482" t="s">
        <v>935</v>
      </c>
      <c r="K482">
        <v>1</v>
      </c>
      <c r="L482">
        <v>0</v>
      </c>
      <c r="M482">
        <v>12.605088</v>
      </c>
      <c r="N482">
        <v>63.0399999999999</v>
      </c>
      <c r="O482">
        <v>66.785242842399896</v>
      </c>
      <c r="P482" t="s">
        <v>40</v>
      </c>
      <c r="Q482">
        <v>0</v>
      </c>
      <c r="R482" t="s">
        <v>50</v>
      </c>
      <c r="S482">
        <v>2007</v>
      </c>
      <c r="T482" t="s">
        <v>819</v>
      </c>
      <c r="U482" t="s">
        <v>51</v>
      </c>
      <c r="V482" t="s">
        <v>40</v>
      </c>
      <c r="W482" t="s">
        <v>40</v>
      </c>
      <c r="X482" t="s">
        <v>41</v>
      </c>
      <c r="Y482" t="s">
        <v>41</v>
      </c>
      <c r="Z482" t="s">
        <v>43</v>
      </c>
      <c r="AA482">
        <v>1856</v>
      </c>
      <c r="AB482" t="s">
        <v>936</v>
      </c>
      <c r="AC482" t="s">
        <v>937</v>
      </c>
      <c r="AD482" t="s">
        <v>937</v>
      </c>
    </row>
    <row r="483" spans="1:30" x14ac:dyDescent="0.3">
      <c r="A483">
        <v>555759491</v>
      </c>
      <c r="B483">
        <v>555759491</v>
      </c>
      <c r="C483">
        <v>1</v>
      </c>
      <c r="D483" t="s">
        <v>938</v>
      </c>
      <c r="E483" t="s">
        <v>938</v>
      </c>
      <c r="F483" t="s">
        <v>102</v>
      </c>
      <c r="G483" t="s">
        <v>102</v>
      </c>
      <c r="H483" t="s">
        <v>39</v>
      </c>
      <c r="I483" t="s">
        <v>40</v>
      </c>
      <c r="J483" t="s">
        <v>41</v>
      </c>
      <c r="K483">
        <v>0</v>
      </c>
      <c r="L483">
        <v>0</v>
      </c>
      <c r="M483">
        <v>0</v>
      </c>
      <c r="N483">
        <v>1193.73</v>
      </c>
      <c r="O483">
        <v>1182.69836367875</v>
      </c>
      <c r="P483" t="s">
        <v>41</v>
      </c>
      <c r="Q483">
        <v>0</v>
      </c>
      <c r="R483" t="s">
        <v>50</v>
      </c>
      <c r="S483">
        <v>2013</v>
      </c>
      <c r="T483" t="s">
        <v>66</v>
      </c>
      <c r="U483" t="s">
        <v>51</v>
      </c>
      <c r="V483" t="s">
        <v>493</v>
      </c>
      <c r="W483" t="s">
        <v>40</v>
      </c>
      <c r="X483" t="s">
        <v>41</v>
      </c>
      <c r="Y483" t="s">
        <v>41</v>
      </c>
      <c r="Z483" t="s">
        <v>43</v>
      </c>
      <c r="AA483">
        <v>178</v>
      </c>
      <c r="AB483" t="s">
        <v>40</v>
      </c>
      <c r="AC483" t="s">
        <v>87</v>
      </c>
      <c r="AD483" t="s">
        <v>87</v>
      </c>
    </row>
    <row r="484" spans="1:30" x14ac:dyDescent="0.3">
      <c r="A484">
        <v>555790229</v>
      </c>
      <c r="B484">
        <v>555790229</v>
      </c>
      <c r="C484">
        <v>1</v>
      </c>
      <c r="D484" t="s">
        <v>939</v>
      </c>
      <c r="E484" t="s">
        <v>939</v>
      </c>
      <c r="F484" t="s">
        <v>102</v>
      </c>
      <c r="G484" t="s">
        <v>102</v>
      </c>
      <c r="H484" t="s">
        <v>39</v>
      </c>
      <c r="I484" t="s">
        <v>40</v>
      </c>
      <c r="J484" t="s">
        <v>41</v>
      </c>
      <c r="K484">
        <v>0</v>
      </c>
      <c r="L484">
        <v>0</v>
      </c>
      <c r="M484">
        <v>0</v>
      </c>
      <c r="N484">
        <v>0.74</v>
      </c>
      <c r="O484">
        <v>0.68190020290716302</v>
      </c>
      <c r="P484" t="s">
        <v>41</v>
      </c>
      <c r="Q484">
        <v>0</v>
      </c>
      <c r="R484" t="s">
        <v>50</v>
      </c>
      <c r="S484">
        <v>1941</v>
      </c>
      <c r="T484" t="s">
        <v>66</v>
      </c>
      <c r="U484" t="s">
        <v>51</v>
      </c>
      <c r="V484" t="s">
        <v>493</v>
      </c>
      <c r="W484" t="s">
        <v>40</v>
      </c>
      <c r="X484" t="s">
        <v>41</v>
      </c>
      <c r="Y484" t="s">
        <v>41</v>
      </c>
      <c r="Z484" t="s">
        <v>43</v>
      </c>
      <c r="AA484">
        <v>178</v>
      </c>
      <c r="AB484" t="s">
        <v>40</v>
      </c>
      <c r="AC484" t="s">
        <v>87</v>
      </c>
      <c r="AD484" t="s">
        <v>87</v>
      </c>
    </row>
    <row r="485" spans="1:30" x14ac:dyDescent="0.3">
      <c r="A485">
        <v>2290</v>
      </c>
      <c r="B485">
        <v>2290</v>
      </c>
      <c r="C485">
        <v>1</v>
      </c>
      <c r="D485" t="s">
        <v>940</v>
      </c>
      <c r="E485" t="s">
        <v>941</v>
      </c>
      <c r="F485" t="s">
        <v>123</v>
      </c>
      <c r="G485" t="s">
        <v>123</v>
      </c>
      <c r="H485" t="s">
        <v>39</v>
      </c>
      <c r="I485" t="s">
        <v>124</v>
      </c>
      <c r="J485" t="s">
        <v>41</v>
      </c>
      <c r="K485">
        <v>1</v>
      </c>
      <c r="L485">
        <v>0</v>
      </c>
      <c r="M485">
        <v>5.4497140000000002</v>
      </c>
      <c r="N485">
        <v>47.24</v>
      </c>
      <c r="O485">
        <v>47.250118923400002</v>
      </c>
      <c r="P485" t="s">
        <v>40</v>
      </c>
      <c r="Q485">
        <v>0</v>
      </c>
      <c r="R485" t="s">
        <v>50</v>
      </c>
      <c r="S485">
        <v>1986</v>
      </c>
      <c r="T485" t="s">
        <v>819</v>
      </c>
      <c r="U485" t="s">
        <v>51</v>
      </c>
      <c r="V485" t="s">
        <v>942</v>
      </c>
      <c r="W485" t="s">
        <v>359</v>
      </c>
      <c r="X485" t="s">
        <v>41</v>
      </c>
      <c r="Y485" t="s">
        <v>41</v>
      </c>
      <c r="Z485" t="s">
        <v>43</v>
      </c>
      <c r="AA485">
        <v>1856</v>
      </c>
      <c r="AB485" t="s">
        <v>943</v>
      </c>
      <c r="AC485" t="s">
        <v>937</v>
      </c>
      <c r="AD485" t="s">
        <v>937</v>
      </c>
    </row>
    <row r="486" spans="1:30" x14ac:dyDescent="0.3">
      <c r="A486">
        <v>7726</v>
      </c>
      <c r="B486">
        <v>7726</v>
      </c>
      <c r="C486">
        <v>1</v>
      </c>
      <c r="D486" t="s">
        <v>944</v>
      </c>
      <c r="E486" t="s">
        <v>944</v>
      </c>
      <c r="F486" t="s">
        <v>102</v>
      </c>
      <c r="G486" t="s">
        <v>102</v>
      </c>
      <c r="H486" t="s">
        <v>39</v>
      </c>
      <c r="I486" t="s">
        <v>40</v>
      </c>
      <c r="J486" t="s">
        <v>41</v>
      </c>
      <c r="K486">
        <v>0</v>
      </c>
      <c r="L486">
        <v>0</v>
      </c>
      <c r="M486">
        <v>0</v>
      </c>
      <c r="N486">
        <v>58.13</v>
      </c>
      <c r="O486">
        <v>57.8767695377908</v>
      </c>
      <c r="P486" t="s">
        <v>41</v>
      </c>
      <c r="Q486">
        <v>0</v>
      </c>
      <c r="R486" t="s">
        <v>50</v>
      </c>
      <c r="S486">
        <v>1932</v>
      </c>
      <c r="T486" t="s">
        <v>66</v>
      </c>
      <c r="U486" t="s">
        <v>51</v>
      </c>
      <c r="V486" t="s">
        <v>493</v>
      </c>
      <c r="W486" t="s">
        <v>40</v>
      </c>
      <c r="X486" t="s">
        <v>41</v>
      </c>
      <c r="Y486" t="s">
        <v>41</v>
      </c>
      <c r="Z486" t="s">
        <v>43</v>
      </c>
      <c r="AA486">
        <v>178</v>
      </c>
      <c r="AB486" t="s">
        <v>97</v>
      </c>
      <c r="AC486" t="s">
        <v>87</v>
      </c>
      <c r="AD486" t="s">
        <v>87</v>
      </c>
    </row>
    <row r="487" spans="1:30" x14ac:dyDescent="0.3">
      <c r="A487">
        <v>7661</v>
      </c>
      <c r="B487">
        <v>7661</v>
      </c>
      <c r="C487">
        <v>1</v>
      </c>
      <c r="D487" t="s">
        <v>945</v>
      </c>
      <c r="E487" t="s">
        <v>945</v>
      </c>
      <c r="F487" t="s">
        <v>102</v>
      </c>
      <c r="G487" t="s">
        <v>102</v>
      </c>
      <c r="H487" t="s">
        <v>39</v>
      </c>
      <c r="I487" t="s">
        <v>40</v>
      </c>
      <c r="J487" t="s">
        <v>41</v>
      </c>
      <c r="K487">
        <v>0</v>
      </c>
      <c r="L487">
        <v>0</v>
      </c>
      <c r="M487">
        <v>0</v>
      </c>
      <c r="N487">
        <v>2009.74</v>
      </c>
      <c r="O487">
        <v>1986.56782703259</v>
      </c>
      <c r="P487" t="s">
        <v>41</v>
      </c>
      <c r="Q487">
        <v>0</v>
      </c>
      <c r="R487" t="s">
        <v>50</v>
      </c>
      <c r="S487">
        <v>1943</v>
      </c>
      <c r="T487" t="s">
        <v>66</v>
      </c>
      <c r="U487" t="s">
        <v>51</v>
      </c>
      <c r="V487" t="s">
        <v>493</v>
      </c>
      <c r="W487" t="s">
        <v>40</v>
      </c>
      <c r="X487" t="s">
        <v>41</v>
      </c>
      <c r="Y487" t="s">
        <v>41</v>
      </c>
      <c r="Z487" t="s">
        <v>43</v>
      </c>
      <c r="AA487">
        <v>178</v>
      </c>
      <c r="AB487" t="s">
        <v>40</v>
      </c>
      <c r="AC487" t="s">
        <v>87</v>
      </c>
      <c r="AD487" t="s">
        <v>87</v>
      </c>
    </row>
    <row r="488" spans="1:30" x14ac:dyDescent="0.3">
      <c r="A488">
        <v>7637</v>
      </c>
      <c r="B488">
        <v>7637</v>
      </c>
      <c r="C488">
        <v>1</v>
      </c>
      <c r="D488" t="s">
        <v>946</v>
      </c>
      <c r="E488" t="s">
        <v>946</v>
      </c>
      <c r="F488" t="s">
        <v>102</v>
      </c>
      <c r="G488" t="s">
        <v>102</v>
      </c>
      <c r="H488" t="s">
        <v>39</v>
      </c>
      <c r="I488" t="s">
        <v>40</v>
      </c>
      <c r="J488" t="s">
        <v>41</v>
      </c>
      <c r="K488">
        <v>0</v>
      </c>
      <c r="L488">
        <v>0</v>
      </c>
      <c r="M488">
        <v>0</v>
      </c>
      <c r="N488">
        <v>78.09</v>
      </c>
      <c r="O488">
        <v>77.741126318726103</v>
      </c>
      <c r="P488" t="s">
        <v>41</v>
      </c>
      <c r="Q488">
        <v>0</v>
      </c>
      <c r="R488" t="s">
        <v>50</v>
      </c>
      <c r="S488">
        <v>1932</v>
      </c>
      <c r="T488" t="s">
        <v>66</v>
      </c>
      <c r="U488" t="s">
        <v>51</v>
      </c>
      <c r="V488" t="s">
        <v>493</v>
      </c>
      <c r="W488" t="s">
        <v>40</v>
      </c>
      <c r="X488" t="s">
        <v>41</v>
      </c>
      <c r="Y488" t="s">
        <v>41</v>
      </c>
      <c r="Z488" t="s">
        <v>43</v>
      </c>
      <c r="AA488">
        <v>178</v>
      </c>
      <c r="AB488" t="s">
        <v>40</v>
      </c>
      <c r="AC488" t="s">
        <v>87</v>
      </c>
      <c r="AD488" t="s">
        <v>87</v>
      </c>
    </row>
    <row r="489" spans="1:30" x14ac:dyDescent="0.3">
      <c r="A489">
        <v>7662</v>
      </c>
      <c r="B489">
        <v>7662</v>
      </c>
      <c r="C489">
        <v>1</v>
      </c>
      <c r="D489" t="s">
        <v>947</v>
      </c>
      <c r="E489" t="s">
        <v>947</v>
      </c>
      <c r="F489" t="s">
        <v>102</v>
      </c>
      <c r="G489" t="s">
        <v>102</v>
      </c>
      <c r="H489" t="s">
        <v>39</v>
      </c>
      <c r="I489" t="s">
        <v>40</v>
      </c>
      <c r="J489" t="s">
        <v>41</v>
      </c>
      <c r="K489">
        <v>0</v>
      </c>
      <c r="L489">
        <v>0</v>
      </c>
      <c r="M489">
        <v>0</v>
      </c>
      <c r="N489">
        <v>301.51999999999902</v>
      </c>
      <c r="O489">
        <v>300.18504700912302</v>
      </c>
      <c r="P489" t="s">
        <v>41</v>
      </c>
      <c r="Q489">
        <v>0</v>
      </c>
      <c r="R489" t="s">
        <v>50</v>
      </c>
      <c r="S489">
        <v>1932</v>
      </c>
      <c r="T489" t="s">
        <v>66</v>
      </c>
      <c r="U489" t="s">
        <v>51</v>
      </c>
      <c r="V489" t="s">
        <v>493</v>
      </c>
      <c r="W489" t="s">
        <v>40</v>
      </c>
      <c r="X489" t="s">
        <v>41</v>
      </c>
      <c r="Y489" t="s">
        <v>41</v>
      </c>
      <c r="Z489" t="s">
        <v>43</v>
      </c>
      <c r="AA489">
        <v>178</v>
      </c>
      <c r="AB489" t="s">
        <v>40</v>
      </c>
      <c r="AC489" t="s">
        <v>87</v>
      </c>
      <c r="AD489" t="s">
        <v>87</v>
      </c>
    </row>
    <row r="490" spans="1:30" x14ac:dyDescent="0.3">
      <c r="A490">
        <v>33443</v>
      </c>
      <c r="B490">
        <v>33443</v>
      </c>
      <c r="C490">
        <v>1</v>
      </c>
      <c r="D490" t="s">
        <v>948</v>
      </c>
      <c r="E490" t="s">
        <v>948</v>
      </c>
      <c r="F490" t="s">
        <v>102</v>
      </c>
      <c r="G490" t="s">
        <v>102</v>
      </c>
      <c r="H490" t="s">
        <v>39</v>
      </c>
      <c r="I490" t="s">
        <v>40</v>
      </c>
      <c r="J490" t="s">
        <v>41</v>
      </c>
      <c r="K490">
        <v>0</v>
      </c>
      <c r="L490">
        <v>0</v>
      </c>
      <c r="M490">
        <v>0</v>
      </c>
      <c r="N490">
        <v>649.71</v>
      </c>
      <c r="O490">
        <v>657.75883603445095</v>
      </c>
      <c r="P490" t="s">
        <v>41</v>
      </c>
      <c r="Q490">
        <v>0</v>
      </c>
      <c r="R490" t="s">
        <v>50</v>
      </c>
      <c r="S490">
        <v>1941</v>
      </c>
      <c r="T490" t="s">
        <v>66</v>
      </c>
      <c r="U490" t="s">
        <v>51</v>
      </c>
      <c r="V490" t="s">
        <v>493</v>
      </c>
      <c r="W490" t="s">
        <v>40</v>
      </c>
      <c r="X490" t="s">
        <v>41</v>
      </c>
      <c r="Y490" t="s">
        <v>41</v>
      </c>
      <c r="Z490" t="s">
        <v>43</v>
      </c>
      <c r="AA490">
        <v>178</v>
      </c>
      <c r="AB490" t="s">
        <v>40</v>
      </c>
      <c r="AC490" t="s">
        <v>87</v>
      </c>
      <c r="AD490" t="s">
        <v>87</v>
      </c>
    </row>
    <row r="491" spans="1:30" x14ac:dyDescent="0.3">
      <c r="A491">
        <v>7552</v>
      </c>
      <c r="B491">
        <v>7552</v>
      </c>
      <c r="C491">
        <v>1</v>
      </c>
      <c r="D491" t="s">
        <v>949</v>
      </c>
      <c r="E491" t="s">
        <v>949</v>
      </c>
      <c r="F491" t="s">
        <v>102</v>
      </c>
      <c r="G491" t="s">
        <v>102</v>
      </c>
      <c r="H491" t="s">
        <v>39</v>
      </c>
      <c r="I491" t="s">
        <v>40</v>
      </c>
      <c r="J491" t="s">
        <v>41</v>
      </c>
      <c r="K491">
        <v>0</v>
      </c>
      <c r="L491">
        <v>0</v>
      </c>
      <c r="M491">
        <v>0</v>
      </c>
      <c r="N491">
        <v>7.64</v>
      </c>
      <c r="O491">
        <v>7.7033617945300703</v>
      </c>
      <c r="P491" t="s">
        <v>41</v>
      </c>
      <c r="Q491">
        <v>0</v>
      </c>
      <c r="R491" t="s">
        <v>50</v>
      </c>
      <c r="S491">
        <v>1938</v>
      </c>
      <c r="T491" t="s">
        <v>66</v>
      </c>
      <c r="U491" t="s">
        <v>51</v>
      </c>
      <c r="V491" t="s">
        <v>493</v>
      </c>
      <c r="W491" t="s">
        <v>40</v>
      </c>
      <c r="X491" t="s">
        <v>41</v>
      </c>
      <c r="Y491" t="s">
        <v>41</v>
      </c>
      <c r="Z491" t="s">
        <v>43</v>
      </c>
      <c r="AA491">
        <v>178</v>
      </c>
      <c r="AB491" t="s">
        <v>40</v>
      </c>
      <c r="AC491" t="s">
        <v>87</v>
      </c>
      <c r="AD491" t="s">
        <v>87</v>
      </c>
    </row>
    <row r="492" spans="1:30" x14ac:dyDescent="0.3">
      <c r="A492">
        <v>7599</v>
      </c>
      <c r="B492">
        <v>7599</v>
      </c>
      <c r="C492">
        <v>1</v>
      </c>
      <c r="D492" t="s">
        <v>950</v>
      </c>
      <c r="E492" t="s">
        <v>950</v>
      </c>
      <c r="F492" t="s">
        <v>102</v>
      </c>
      <c r="G492" t="s">
        <v>102</v>
      </c>
      <c r="H492" t="s">
        <v>39</v>
      </c>
      <c r="I492" t="s">
        <v>40</v>
      </c>
      <c r="J492" t="s">
        <v>41</v>
      </c>
      <c r="K492">
        <v>0</v>
      </c>
      <c r="L492">
        <v>0</v>
      </c>
      <c r="M492">
        <v>0</v>
      </c>
      <c r="N492">
        <v>7.0602999999999998</v>
      </c>
      <c r="O492">
        <v>7.3644251542354002</v>
      </c>
      <c r="P492" t="s">
        <v>41</v>
      </c>
      <c r="Q492">
        <v>0</v>
      </c>
      <c r="R492" t="s">
        <v>50</v>
      </c>
      <c r="S492">
        <v>1980</v>
      </c>
      <c r="T492" t="s">
        <v>66</v>
      </c>
      <c r="U492" t="s">
        <v>51</v>
      </c>
      <c r="V492" t="s">
        <v>493</v>
      </c>
      <c r="W492" t="s">
        <v>40</v>
      </c>
      <c r="X492" t="s">
        <v>41</v>
      </c>
      <c r="Y492" t="s">
        <v>41</v>
      </c>
      <c r="Z492" t="s">
        <v>43</v>
      </c>
      <c r="AA492">
        <v>178</v>
      </c>
      <c r="AB492" t="s">
        <v>97</v>
      </c>
      <c r="AC492" t="s">
        <v>87</v>
      </c>
      <c r="AD492" t="s">
        <v>87</v>
      </c>
    </row>
    <row r="493" spans="1:30" x14ac:dyDescent="0.3">
      <c r="A493">
        <v>7704</v>
      </c>
      <c r="B493">
        <v>7704</v>
      </c>
      <c r="C493">
        <v>1</v>
      </c>
      <c r="D493" t="s">
        <v>951</v>
      </c>
      <c r="E493" t="s">
        <v>951</v>
      </c>
      <c r="F493" t="s">
        <v>102</v>
      </c>
      <c r="G493" t="s">
        <v>102</v>
      </c>
      <c r="H493" t="s">
        <v>39</v>
      </c>
      <c r="I493" t="s">
        <v>40</v>
      </c>
      <c r="J493" t="s">
        <v>41</v>
      </c>
      <c r="K493">
        <v>0</v>
      </c>
      <c r="L493">
        <v>0</v>
      </c>
      <c r="M493">
        <v>0</v>
      </c>
      <c r="N493">
        <v>6.39</v>
      </c>
      <c r="O493">
        <v>6.3650291857805303</v>
      </c>
      <c r="P493" t="s">
        <v>41</v>
      </c>
      <c r="Q493">
        <v>0</v>
      </c>
      <c r="R493" t="s">
        <v>50</v>
      </c>
      <c r="S493">
        <v>1941</v>
      </c>
      <c r="T493" t="s">
        <v>66</v>
      </c>
      <c r="U493" t="s">
        <v>51</v>
      </c>
      <c r="V493" t="s">
        <v>493</v>
      </c>
      <c r="W493" t="s">
        <v>40</v>
      </c>
      <c r="X493" t="s">
        <v>41</v>
      </c>
      <c r="Y493" t="s">
        <v>41</v>
      </c>
      <c r="Z493" t="s">
        <v>43</v>
      </c>
      <c r="AA493">
        <v>178</v>
      </c>
      <c r="AB493" t="s">
        <v>40</v>
      </c>
      <c r="AC493" t="s">
        <v>87</v>
      </c>
      <c r="AD493" t="s">
        <v>87</v>
      </c>
    </row>
    <row r="494" spans="1:30" x14ac:dyDescent="0.3">
      <c r="A494">
        <v>7676</v>
      </c>
      <c r="B494">
        <v>7676</v>
      </c>
      <c r="C494">
        <v>1</v>
      </c>
      <c r="D494" t="s">
        <v>952</v>
      </c>
      <c r="E494" t="s">
        <v>952</v>
      </c>
      <c r="F494" t="s">
        <v>102</v>
      </c>
      <c r="G494" t="s">
        <v>102</v>
      </c>
      <c r="H494" t="s">
        <v>39</v>
      </c>
      <c r="I494" t="s">
        <v>40</v>
      </c>
      <c r="J494" t="s">
        <v>41</v>
      </c>
      <c r="K494">
        <v>0</v>
      </c>
      <c r="L494">
        <v>0</v>
      </c>
      <c r="M494">
        <v>0</v>
      </c>
      <c r="N494">
        <v>3.81</v>
      </c>
      <c r="O494">
        <v>3.7900113013401802</v>
      </c>
      <c r="P494" t="s">
        <v>41</v>
      </c>
      <c r="Q494">
        <v>0</v>
      </c>
      <c r="R494" t="s">
        <v>50</v>
      </c>
      <c r="S494">
        <v>1938</v>
      </c>
      <c r="T494" t="s">
        <v>66</v>
      </c>
      <c r="U494" t="s">
        <v>51</v>
      </c>
      <c r="V494" t="s">
        <v>493</v>
      </c>
      <c r="W494" t="s">
        <v>40</v>
      </c>
      <c r="X494" t="s">
        <v>41</v>
      </c>
      <c r="Y494" t="s">
        <v>41</v>
      </c>
      <c r="Z494" t="s">
        <v>43</v>
      </c>
      <c r="AA494">
        <v>178</v>
      </c>
      <c r="AB494" t="s">
        <v>40</v>
      </c>
      <c r="AC494" t="s">
        <v>87</v>
      </c>
      <c r="AD494" t="s">
        <v>87</v>
      </c>
    </row>
    <row r="495" spans="1:30" x14ac:dyDescent="0.3">
      <c r="A495">
        <v>7680</v>
      </c>
      <c r="B495">
        <v>7680</v>
      </c>
      <c r="C495">
        <v>1</v>
      </c>
      <c r="D495" t="s">
        <v>953</v>
      </c>
      <c r="E495" t="s">
        <v>953</v>
      </c>
      <c r="F495" t="s">
        <v>102</v>
      </c>
      <c r="G495" t="s">
        <v>102</v>
      </c>
      <c r="H495" t="s">
        <v>39</v>
      </c>
      <c r="I495" t="s">
        <v>40</v>
      </c>
      <c r="J495" t="s">
        <v>41</v>
      </c>
      <c r="K495">
        <v>0</v>
      </c>
      <c r="L495">
        <v>0</v>
      </c>
      <c r="M495">
        <v>0</v>
      </c>
      <c r="N495">
        <v>30.329999999999899</v>
      </c>
      <c r="O495">
        <v>30.1921420785539</v>
      </c>
      <c r="P495" t="s">
        <v>41</v>
      </c>
      <c r="Q495">
        <v>0</v>
      </c>
      <c r="R495" t="s">
        <v>50</v>
      </c>
      <c r="S495">
        <v>1932</v>
      </c>
      <c r="T495" t="s">
        <v>66</v>
      </c>
      <c r="U495" t="s">
        <v>51</v>
      </c>
      <c r="V495" t="s">
        <v>493</v>
      </c>
      <c r="W495" t="s">
        <v>40</v>
      </c>
      <c r="X495" t="s">
        <v>41</v>
      </c>
      <c r="Y495" t="s">
        <v>41</v>
      </c>
      <c r="Z495" t="s">
        <v>43</v>
      </c>
      <c r="AA495">
        <v>178</v>
      </c>
      <c r="AB495" t="s">
        <v>97</v>
      </c>
      <c r="AC495" t="s">
        <v>87</v>
      </c>
      <c r="AD495" t="s">
        <v>87</v>
      </c>
    </row>
    <row r="496" spans="1:30" x14ac:dyDescent="0.3">
      <c r="A496">
        <v>7598</v>
      </c>
      <c r="B496">
        <v>7598</v>
      </c>
      <c r="C496">
        <v>1</v>
      </c>
      <c r="D496" t="s">
        <v>954</v>
      </c>
      <c r="E496" t="s">
        <v>954</v>
      </c>
      <c r="F496" t="s">
        <v>102</v>
      </c>
      <c r="G496" t="s">
        <v>102</v>
      </c>
      <c r="H496" t="s">
        <v>39</v>
      </c>
      <c r="I496" t="s">
        <v>40</v>
      </c>
      <c r="J496" t="s">
        <v>41</v>
      </c>
      <c r="K496">
        <v>0</v>
      </c>
      <c r="L496">
        <v>0</v>
      </c>
      <c r="M496">
        <v>0</v>
      </c>
      <c r="N496">
        <v>3.0219999999999998</v>
      </c>
      <c r="O496">
        <v>1.7101348042762601</v>
      </c>
      <c r="P496" t="s">
        <v>41</v>
      </c>
      <c r="Q496">
        <v>0</v>
      </c>
      <c r="R496" t="s">
        <v>50</v>
      </c>
      <c r="S496">
        <v>1932</v>
      </c>
      <c r="T496" t="s">
        <v>66</v>
      </c>
      <c r="U496" t="s">
        <v>51</v>
      </c>
      <c r="V496" t="s">
        <v>493</v>
      </c>
      <c r="W496" t="s">
        <v>40</v>
      </c>
      <c r="X496" t="s">
        <v>41</v>
      </c>
      <c r="Y496" t="s">
        <v>41</v>
      </c>
      <c r="Z496" t="s">
        <v>43</v>
      </c>
      <c r="AA496">
        <v>178</v>
      </c>
      <c r="AB496" t="s">
        <v>955</v>
      </c>
      <c r="AC496" t="s">
        <v>87</v>
      </c>
      <c r="AD496" t="s">
        <v>87</v>
      </c>
    </row>
    <row r="497" spans="1:30" x14ac:dyDescent="0.3">
      <c r="A497">
        <v>555547524</v>
      </c>
      <c r="B497">
        <v>555547524</v>
      </c>
      <c r="C497">
        <v>1</v>
      </c>
      <c r="D497" t="s">
        <v>956</v>
      </c>
      <c r="E497" t="s">
        <v>957</v>
      </c>
      <c r="F497" t="s">
        <v>123</v>
      </c>
      <c r="G497" t="s">
        <v>123</v>
      </c>
      <c r="H497" t="s">
        <v>39</v>
      </c>
      <c r="I497" t="s">
        <v>124</v>
      </c>
      <c r="J497" t="s">
        <v>41</v>
      </c>
      <c r="K497">
        <v>1</v>
      </c>
      <c r="L497">
        <v>0</v>
      </c>
      <c r="M497">
        <v>18.838386</v>
      </c>
      <c r="N497">
        <v>63.0399999999999</v>
      </c>
      <c r="O497">
        <v>75.592679928799896</v>
      </c>
      <c r="P497" t="s">
        <v>40</v>
      </c>
      <c r="Q497">
        <v>0</v>
      </c>
      <c r="R497" t="s">
        <v>50</v>
      </c>
      <c r="S497">
        <v>2001</v>
      </c>
      <c r="T497" t="s">
        <v>819</v>
      </c>
      <c r="U497" t="s">
        <v>51</v>
      </c>
      <c r="V497" t="s">
        <v>942</v>
      </c>
      <c r="W497" t="s">
        <v>359</v>
      </c>
      <c r="X497" t="s">
        <v>41</v>
      </c>
      <c r="Y497" t="s">
        <v>41</v>
      </c>
      <c r="Z497" t="s">
        <v>43</v>
      </c>
      <c r="AA497">
        <v>1798</v>
      </c>
      <c r="AB497" t="s">
        <v>958</v>
      </c>
      <c r="AC497" t="s">
        <v>937</v>
      </c>
      <c r="AD497" t="s">
        <v>937</v>
      </c>
    </row>
    <row r="498" spans="1:30" x14ac:dyDescent="0.3">
      <c r="A498">
        <v>7457</v>
      </c>
      <c r="B498">
        <v>7457</v>
      </c>
      <c r="C498">
        <v>1</v>
      </c>
      <c r="D498" t="s">
        <v>959</v>
      </c>
      <c r="E498" t="s">
        <v>959</v>
      </c>
      <c r="F498" t="s">
        <v>102</v>
      </c>
      <c r="G498" t="s">
        <v>102</v>
      </c>
      <c r="H498" t="s">
        <v>39</v>
      </c>
      <c r="I498" t="s">
        <v>124</v>
      </c>
      <c r="J498" t="s">
        <v>41</v>
      </c>
      <c r="K498">
        <v>0</v>
      </c>
      <c r="L498">
        <v>0</v>
      </c>
      <c r="M498">
        <v>0</v>
      </c>
      <c r="N498">
        <v>149.31</v>
      </c>
      <c r="O498">
        <v>145.19935911788801</v>
      </c>
      <c r="P498" t="s">
        <v>41</v>
      </c>
      <c r="Q498">
        <v>0</v>
      </c>
      <c r="R498" t="s">
        <v>50</v>
      </c>
      <c r="S498">
        <v>1968</v>
      </c>
      <c r="T498" t="s">
        <v>66</v>
      </c>
      <c r="U498" t="s">
        <v>40</v>
      </c>
      <c r="V498" t="s">
        <v>960</v>
      </c>
      <c r="W498" t="s">
        <v>40</v>
      </c>
      <c r="X498" t="s">
        <v>41</v>
      </c>
      <c r="Y498" t="s">
        <v>41</v>
      </c>
      <c r="Z498" t="s">
        <v>43</v>
      </c>
      <c r="AA498">
        <v>2103</v>
      </c>
      <c r="AB498" t="s">
        <v>961</v>
      </c>
      <c r="AC498" t="s">
        <v>962</v>
      </c>
      <c r="AD498" t="s">
        <v>962</v>
      </c>
    </row>
    <row r="499" spans="1:30" x14ac:dyDescent="0.3">
      <c r="A499">
        <v>7459</v>
      </c>
      <c r="B499">
        <v>7459</v>
      </c>
      <c r="C499">
        <v>1</v>
      </c>
      <c r="D499" t="s">
        <v>963</v>
      </c>
      <c r="E499" t="s">
        <v>963</v>
      </c>
      <c r="F499" t="s">
        <v>102</v>
      </c>
      <c r="G499" t="s">
        <v>102</v>
      </c>
      <c r="H499" t="s">
        <v>39</v>
      </c>
      <c r="I499" t="s">
        <v>124</v>
      </c>
      <c r="J499" t="s">
        <v>41</v>
      </c>
      <c r="K499">
        <v>0</v>
      </c>
      <c r="L499">
        <v>0</v>
      </c>
      <c r="M499">
        <v>0</v>
      </c>
      <c r="N499">
        <v>1194</v>
      </c>
      <c r="O499">
        <v>1163.64064991232</v>
      </c>
      <c r="P499" t="s">
        <v>41</v>
      </c>
      <c r="Q499">
        <v>0</v>
      </c>
      <c r="R499" t="s">
        <v>50</v>
      </c>
      <c r="S499">
        <v>1981</v>
      </c>
      <c r="T499" t="s">
        <v>66</v>
      </c>
      <c r="U499" t="s">
        <v>40</v>
      </c>
      <c r="V499" t="s">
        <v>960</v>
      </c>
      <c r="W499" t="s">
        <v>40</v>
      </c>
      <c r="X499" t="s">
        <v>41</v>
      </c>
      <c r="Y499" t="s">
        <v>41</v>
      </c>
      <c r="Z499" t="s">
        <v>43</v>
      </c>
      <c r="AA499">
        <v>2103</v>
      </c>
      <c r="AB499" t="s">
        <v>961</v>
      </c>
      <c r="AC499" t="s">
        <v>962</v>
      </c>
      <c r="AD499" t="s">
        <v>962</v>
      </c>
    </row>
    <row r="500" spans="1:30" x14ac:dyDescent="0.3">
      <c r="A500">
        <v>16796</v>
      </c>
      <c r="B500">
        <v>16796</v>
      </c>
      <c r="C500">
        <v>1</v>
      </c>
      <c r="D500" t="s">
        <v>964</v>
      </c>
      <c r="E500" t="s">
        <v>964</v>
      </c>
      <c r="F500" t="s">
        <v>102</v>
      </c>
      <c r="G500" t="s">
        <v>102</v>
      </c>
      <c r="H500" t="s">
        <v>39</v>
      </c>
      <c r="I500" t="s">
        <v>124</v>
      </c>
      <c r="J500" t="s">
        <v>41</v>
      </c>
      <c r="K500">
        <v>0</v>
      </c>
      <c r="L500">
        <v>0</v>
      </c>
      <c r="M500">
        <v>0</v>
      </c>
      <c r="N500">
        <v>641.11</v>
      </c>
      <c r="O500">
        <v>659.396935265568</v>
      </c>
      <c r="P500" t="s">
        <v>41</v>
      </c>
      <c r="Q500">
        <v>0</v>
      </c>
      <c r="R500" t="s">
        <v>50</v>
      </c>
      <c r="S500">
        <v>1981</v>
      </c>
      <c r="T500" t="s">
        <v>66</v>
      </c>
      <c r="U500" t="s">
        <v>40</v>
      </c>
      <c r="V500" t="s">
        <v>960</v>
      </c>
      <c r="W500" t="s">
        <v>40</v>
      </c>
      <c r="X500" t="s">
        <v>41</v>
      </c>
      <c r="Y500" t="s">
        <v>41</v>
      </c>
      <c r="Z500" t="s">
        <v>43</v>
      </c>
      <c r="AA500">
        <v>2103</v>
      </c>
      <c r="AB500" t="s">
        <v>961</v>
      </c>
      <c r="AC500" t="s">
        <v>962</v>
      </c>
      <c r="AD500" t="s">
        <v>962</v>
      </c>
    </row>
    <row r="501" spans="1:30" x14ac:dyDescent="0.3">
      <c r="A501">
        <v>7458</v>
      </c>
      <c r="B501">
        <v>7458</v>
      </c>
      <c r="C501">
        <v>1</v>
      </c>
      <c r="D501" t="s">
        <v>965</v>
      </c>
      <c r="E501" t="s">
        <v>965</v>
      </c>
      <c r="F501" t="s">
        <v>102</v>
      </c>
      <c r="G501" t="s">
        <v>102</v>
      </c>
      <c r="H501" t="s">
        <v>39</v>
      </c>
      <c r="I501" t="s">
        <v>124</v>
      </c>
      <c r="J501" t="s">
        <v>41</v>
      </c>
      <c r="K501">
        <v>0</v>
      </c>
      <c r="L501">
        <v>0</v>
      </c>
      <c r="M501">
        <v>0</v>
      </c>
      <c r="N501">
        <v>195</v>
      </c>
      <c r="O501">
        <v>179.34283185330301</v>
      </c>
      <c r="P501" t="s">
        <v>41</v>
      </c>
      <c r="Q501">
        <v>0</v>
      </c>
      <c r="R501" t="s">
        <v>50</v>
      </c>
      <c r="S501">
        <v>1981</v>
      </c>
      <c r="T501" t="s">
        <v>66</v>
      </c>
      <c r="U501" t="s">
        <v>40</v>
      </c>
      <c r="V501" t="s">
        <v>960</v>
      </c>
      <c r="W501" t="s">
        <v>40</v>
      </c>
      <c r="X501" t="s">
        <v>41</v>
      </c>
      <c r="Y501" t="s">
        <v>41</v>
      </c>
      <c r="Z501" t="s">
        <v>43</v>
      </c>
      <c r="AA501">
        <v>2103</v>
      </c>
      <c r="AB501" t="s">
        <v>961</v>
      </c>
      <c r="AC501" t="s">
        <v>962</v>
      </c>
      <c r="AD501" t="s">
        <v>962</v>
      </c>
    </row>
    <row r="502" spans="1:30" x14ac:dyDescent="0.3">
      <c r="A502">
        <v>303628</v>
      </c>
      <c r="B502">
        <v>303628</v>
      </c>
      <c r="C502">
        <v>1</v>
      </c>
      <c r="D502" t="s">
        <v>966</v>
      </c>
      <c r="E502" t="s">
        <v>966</v>
      </c>
      <c r="F502" t="s">
        <v>967</v>
      </c>
      <c r="G502" t="s">
        <v>967</v>
      </c>
      <c r="H502" t="s">
        <v>39</v>
      </c>
      <c r="I502" t="s">
        <v>74</v>
      </c>
      <c r="J502" t="s">
        <v>41</v>
      </c>
      <c r="K502">
        <v>0</v>
      </c>
      <c r="L502">
        <v>0</v>
      </c>
      <c r="M502">
        <v>0</v>
      </c>
      <c r="N502">
        <v>961</v>
      </c>
      <c r="O502">
        <v>959.66938193860301</v>
      </c>
      <c r="P502" t="s">
        <v>41</v>
      </c>
      <c r="Q502">
        <v>0</v>
      </c>
      <c r="R502" t="s">
        <v>50</v>
      </c>
      <c r="S502">
        <v>1993</v>
      </c>
      <c r="T502" t="s">
        <v>630</v>
      </c>
      <c r="U502" t="s">
        <v>40</v>
      </c>
      <c r="V502" t="s">
        <v>968</v>
      </c>
      <c r="W502" t="s">
        <v>40</v>
      </c>
      <c r="X502" t="s">
        <v>41</v>
      </c>
      <c r="Y502" t="s">
        <v>41</v>
      </c>
      <c r="Z502" t="s">
        <v>43</v>
      </c>
      <c r="AA502">
        <v>1738</v>
      </c>
      <c r="AB502" t="s">
        <v>969</v>
      </c>
      <c r="AC502" t="s">
        <v>962</v>
      </c>
      <c r="AD502" t="s">
        <v>962</v>
      </c>
    </row>
    <row r="503" spans="1:30" x14ac:dyDescent="0.3">
      <c r="A503">
        <v>29330</v>
      </c>
      <c r="B503">
        <v>29330</v>
      </c>
      <c r="C503">
        <v>1</v>
      </c>
      <c r="D503" t="s">
        <v>970</v>
      </c>
      <c r="E503" t="s">
        <v>970</v>
      </c>
      <c r="F503" t="s">
        <v>55</v>
      </c>
      <c r="G503" t="s">
        <v>55</v>
      </c>
      <c r="H503" t="s">
        <v>39</v>
      </c>
      <c r="I503" t="s">
        <v>40</v>
      </c>
      <c r="J503" t="s">
        <v>41</v>
      </c>
      <c r="K503">
        <v>0</v>
      </c>
      <c r="L503">
        <v>0</v>
      </c>
      <c r="M503">
        <v>0.14126299136305601</v>
      </c>
      <c r="N503">
        <v>6.72</v>
      </c>
      <c r="O503">
        <v>3.22037614789875</v>
      </c>
      <c r="P503" t="s">
        <v>41</v>
      </c>
      <c r="Q503">
        <v>0</v>
      </c>
      <c r="R503" t="s">
        <v>50</v>
      </c>
      <c r="S503">
        <v>1955</v>
      </c>
      <c r="T503" t="s">
        <v>40</v>
      </c>
      <c r="U503" t="s">
        <v>40</v>
      </c>
      <c r="V503" t="s">
        <v>40</v>
      </c>
      <c r="W503" t="s">
        <v>40</v>
      </c>
      <c r="X503" t="s">
        <v>41</v>
      </c>
      <c r="Y503" t="s">
        <v>41</v>
      </c>
      <c r="Z503" t="s">
        <v>43</v>
      </c>
      <c r="AA503">
        <v>73</v>
      </c>
      <c r="AB503" t="s">
        <v>971</v>
      </c>
      <c r="AC503" t="s">
        <v>506</v>
      </c>
      <c r="AD503" t="s">
        <v>506</v>
      </c>
    </row>
    <row r="504" spans="1:30" x14ac:dyDescent="0.3">
      <c r="A504">
        <v>29333</v>
      </c>
      <c r="B504">
        <v>29333</v>
      </c>
      <c r="C504">
        <v>1</v>
      </c>
      <c r="D504" t="s">
        <v>972</v>
      </c>
      <c r="E504" t="s">
        <v>972</v>
      </c>
      <c r="F504" t="s">
        <v>55</v>
      </c>
      <c r="G504" t="s">
        <v>55</v>
      </c>
      <c r="H504" t="s">
        <v>39</v>
      </c>
      <c r="I504" t="s">
        <v>40</v>
      </c>
      <c r="J504" t="s">
        <v>41</v>
      </c>
      <c r="K504">
        <v>0</v>
      </c>
      <c r="L504">
        <v>0</v>
      </c>
      <c r="M504">
        <v>0</v>
      </c>
      <c r="N504">
        <v>49</v>
      </c>
      <c r="O504">
        <v>49.702375948679801</v>
      </c>
      <c r="P504" t="s">
        <v>41</v>
      </c>
      <c r="Q504">
        <v>0</v>
      </c>
      <c r="R504" t="s">
        <v>50</v>
      </c>
      <c r="S504">
        <v>1944</v>
      </c>
      <c r="T504" t="s">
        <v>40</v>
      </c>
      <c r="U504" t="s">
        <v>40</v>
      </c>
      <c r="V504" t="s">
        <v>40</v>
      </c>
      <c r="W504" t="s">
        <v>40</v>
      </c>
      <c r="X504" t="s">
        <v>41</v>
      </c>
      <c r="Y504" t="s">
        <v>41</v>
      </c>
      <c r="Z504" t="s">
        <v>43</v>
      </c>
      <c r="AA504">
        <v>73</v>
      </c>
      <c r="AB504" t="s">
        <v>505</v>
      </c>
      <c r="AC504" t="s">
        <v>506</v>
      </c>
      <c r="AD504" t="s">
        <v>506</v>
      </c>
    </row>
    <row r="505" spans="1:30" x14ac:dyDescent="0.3">
      <c r="A505">
        <v>29351</v>
      </c>
      <c r="B505">
        <v>29351</v>
      </c>
      <c r="C505">
        <v>1</v>
      </c>
      <c r="D505" t="s">
        <v>973</v>
      </c>
      <c r="E505" t="s">
        <v>973</v>
      </c>
      <c r="F505" t="s">
        <v>55</v>
      </c>
      <c r="G505" t="s">
        <v>55</v>
      </c>
      <c r="H505" t="s">
        <v>39</v>
      </c>
      <c r="I505" t="s">
        <v>40</v>
      </c>
      <c r="J505" t="s">
        <v>41</v>
      </c>
      <c r="K505">
        <v>0</v>
      </c>
      <c r="L505">
        <v>0</v>
      </c>
      <c r="M505">
        <v>0</v>
      </c>
      <c r="N505">
        <v>134</v>
      </c>
      <c r="O505">
        <v>153.016347544268</v>
      </c>
      <c r="P505" t="s">
        <v>41</v>
      </c>
      <c r="Q505">
        <v>0</v>
      </c>
      <c r="R505" t="s">
        <v>50</v>
      </c>
      <c r="S505">
        <v>1944</v>
      </c>
      <c r="T505" t="s">
        <v>40</v>
      </c>
      <c r="U505" t="s">
        <v>40</v>
      </c>
      <c r="V505" t="s">
        <v>40</v>
      </c>
      <c r="W505" t="s">
        <v>40</v>
      </c>
      <c r="X505" t="s">
        <v>41</v>
      </c>
      <c r="Y505" t="s">
        <v>41</v>
      </c>
      <c r="Z505" t="s">
        <v>43</v>
      </c>
      <c r="AA505">
        <v>73</v>
      </c>
      <c r="AB505" t="s">
        <v>505</v>
      </c>
      <c r="AC505" t="s">
        <v>506</v>
      </c>
      <c r="AD505" t="s">
        <v>506</v>
      </c>
    </row>
    <row r="506" spans="1:30" x14ac:dyDescent="0.3">
      <c r="A506">
        <v>555555521</v>
      </c>
      <c r="B506">
        <v>555555521</v>
      </c>
      <c r="C506">
        <v>1</v>
      </c>
      <c r="D506" t="s">
        <v>974</v>
      </c>
      <c r="E506" t="s">
        <v>974</v>
      </c>
      <c r="F506" t="s">
        <v>84</v>
      </c>
      <c r="G506" t="s">
        <v>84</v>
      </c>
      <c r="H506" t="s">
        <v>39</v>
      </c>
      <c r="I506" t="s">
        <v>40</v>
      </c>
      <c r="J506" t="s">
        <v>41</v>
      </c>
      <c r="K506">
        <v>0</v>
      </c>
      <c r="L506">
        <v>0</v>
      </c>
      <c r="M506">
        <v>0</v>
      </c>
      <c r="N506">
        <v>792</v>
      </c>
      <c r="O506">
        <v>784.09575849309601</v>
      </c>
      <c r="P506" t="s">
        <v>41</v>
      </c>
      <c r="Q506">
        <v>0</v>
      </c>
      <c r="R506" t="s">
        <v>40</v>
      </c>
      <c r="S506">
        <v>2010</v>
      </c>
      <c r="T506" t="s">
        <v>85</v>
      </c>
      <c r="U506" t="s">
        <v>40</v>
      </c>
      <c r="V506" t="s">
        <v>86</v>
      </c>
      <c r="W506" t="s">
        <v>40</v>
      </c>
      <c r="X506" t="s">
        <v>41</v>
      </c>
      <c r="Y506" t="s">
        <v>41</v>
      </c>
      <c r="Z506" t="s">
        <v>40</v>
      </c>
      <c r="AA506">
        <v>1775</v>
      </c>
      <c r="AB506" t="s">
        <v>40</v>
      </c>
      <c r="AC506" t="s">
        <v>87</v>
      </c>
      <c r="AD506" t="s">
        <v>87</v>
      </c>
    </row>
    <row r="507" spans="1:30" x14ac:dyDescent="0.3">
      <c r="A507">
        <v>555555505</v>
      </c>
      <c r="B507">
        <v>555555505</v>
      </c>
      <c r="C507">
        <v>1</v>
      </c>
      <c r="D507" t="s">
        <v>975</v>
      </c>
      <c r="E507" t="s">
        <v>975</v>
      </c>
      <c r="F507" t="s">
        <v>84</v>
      </c>
      <c r="G507" t="s">
        <v>84</v>
      </c>
      <c r="H507" t="s">
        <v>39</v>
      </c>
      <c r="I507" t="s">
        <v>40</v>
      </c>
      <c r="J507" t="s">
        <v>41</v>
      </c>
      <c r="K507">
        <v>0</v>
      </c>
      <c r="L507">
        <v>0</v>
      </c>
      <c r="M507">
        <v>0</v>
      </c>
      <c r="N507">
        <v>732</v>
      </c>
      <c r="O507">
        <v>688.52838919938904</v>
      </c>
      <c r="P507" t="s">
        <v>41</v>
      </c>
      <c r="Q507">
        <v>0</v>
      </c>
      <c r="R507" t="s">
        <v>40</v>
      </c>
      <c r="S507">
        <v>2007</v>
      </c>
      <c r="T507" t="s">
        <v>85</v>
      </c>
      <c r="U507" t="s">
        <v>40</v>
      </c>
      <c r="V507" t="s">
        <v>86</v>
      </c>
      <c r="W507" t="s">
        <v>40</v>
      </c>
      <c r="X507" t="s">
        <v>41</v>
      </c>
      <c r="Y507" t="s">
        <v>41</v>
      </c>
      <c r="Z507" t="s">
        <v>40</v>
      </c>
      <c r="AA507">
        <v>1775</v>
      </c>
      <c r="AB507" t="s">
        <v>40</v>
      </c>
      <c r="AC507" t="s">
        <v>87</v>
      </c>
      <c r="AD507" t="s">
        <v>87</v>
      </c>
    </row>
    <row r="508" spans="1:30" x14ac:dyDescent="0.3">
      <c r="A508">
        <v>555542457</v>
      </c>
      <c r="B508">
        <v>555542457</v>
      </c>
      <c r="C508">
        <v>1</v>
      </c>
      <c r="D508" t="s">
        <v>976</v>
      </c>
      <c r="E508" t="s">
        <v>976</v>
      </c>
      <c r="F508" t="s">
        <v>977</v>
      </c>
      <c r="G508" t="s">
        <v>977</v>
      </c>
      <c r="H508" t="s">
        <v>39</v>
      </c>
      <c r="I508" t="s">
        <v>40</v>
      </c>
      <c r="J508" t="s">
        <v>41</v>
      </c>
      <c r="K508">
        <v>1</v>
      </c>
      <c r="L508">
        <v>0</v>
      </c>
      <c r="M508">
        <v>147.24373442826101</v>
      </c>
      <c r="N508">
        <v>339.13999999999902</v>
      </c>
      <c r="O508">
        <v>958.45587041821102</v>
      </c>
      <c r="P508" t="s">
        <v>40</v>
      </c>
      <c r="Q508">
        <v>0</v>
      </c>
      <c r="R508" t="s">
        <v>50</v>
      </c>
      <c r="S508">
        <v>2003</v>
      </c>
      <c r="T508" t="s">
        <v>66</v>
      </c>
      <c r="U508" t="s">
        <v>40</v>
      </c>
      <c r="V508" t="s">
        <v>978</v>
      </c>
      <c r="W508" t="s">
        <v>40</v>
      </c>
      <c r="X508" t="s">
        <v>41</v>
      </c>
      <c r="Y508" t="s">
        <v>41</v>
      </c>
      <c r="Z508" t="s">
        <v>43</v>
      </c>
      <c r="AA508">
        <v>876</v>
      </c>
      <c r="AB508" t="s">
        <v>979</v>
      </c>
      <c r="AC508" t="s">
        <v>980</v>
      </c>
      <c r="AD508" t="s">
        <v>980</v>
      </c>
    </row>
    <row r="509" spans="1:30" x14ac:dyDescent="0.3">
      <c r="A509">
        <v>555542456</v>
      </c>
      <c r="B509">
        <v>555542456</v>
      </c>
      <c r="C509">
        <v>1</v>
      </c>
      <c r="D509" t="s">
        <v>981</v>
      </c>
      <c r="E509" t="s">
        <v>981</v>
      </c>
      <c r="F509" t="s">
        <v>123</v>
      </c>
      <c r="G509" t="s">
        <v>123</v>
      </c>
      <c r="H509" t="s">
        <v>39</v>
      </c>
      <c r="I509" t="s">
        <v>40</v>
      </c>
      <c r="J509" t="s">
        <v>41</v>
      </c>
      <c r="K509">
        <v>0</v>
      </c>
      <c r="L509">
        <v>0</v>
      </c>
      <c r="M509">
        <v>15.9921595961774</v>
      </c>
      <c r="N509">
        <v>238.12976599999899</v>
      </c>
      <c r="O509">
        <v>238.185155674382</v>
      </c>
      <c r="P509" t="s">
        <v>41</v>
      </c>
      <c r="Q509">
        <v>0</v>
      </c>
      <c r="R509" t="s">
        <v>42</v>
      </c>
      <c r="S509">
        <v>2003</v>
      </c>
      <c r="T509" t="s">
        <v>66</v>
      </c>
      <c r="U509" t="s">
        <v>40</v>
      </c>
      <c r="V509" t="s">
        <v>978</v>
      </c>
      <c r="W509" t="s">
        <v>40</v>
      </c>
      <c r="X509" t="s">
        <v>41</v>
      </c>
      <c r="Y509" t="s">
        <v>41</v>
      </c>
      <c r="Z509" t="s">
        <v>43</v>
      </c>
      <c r="AA509">
        <v>876</v>
      </c>
      <c r="AB509" t="s">
        <v>982</v>
      </c>
      <c r="AC509" t="s">
        <v>980</v>
      </c>
      <c r="AD509" t="s">
        <v>980</v>
      </c>
    </row>
    <row r="510" spans="1:30" x14ac:dyDescent="0.3">
      <c r="A510">
        <v>4095</v>
      </c>
      <c r="B510">
        <v>4095</v>
      </c>
      <c r="C510">
        <v>1</v>
      </c>
      <c r="D510" t="s">
        <v>983</v>
      </c>
      <c r="E510" t="s">
        <v>983</v>
      </c>
      <c r="F510" t="s">
        <v>984</v>
      </c>
      <c r="G510" t="s">
        <v>984</v>
      </c>
      <c r="H510" t="s">
        <v>39</v>
      </c>
      <c r="I510" t="s">
        <v>49</v>
      </c>
      <c r="J510" t="s">
        <v>41</v>
      </c>
      <c r="K510">
        <v>0</v>
      </c>
      <c r="L510">
        <v>0</v>
      </c>
      <c r="M510">
        <v>0</v>
      </c>
      <c r="N510">
        <v>8440</v>
      </c>
      <c r="O510">
        <v>8429.6637880484504</v>
      </c>
      <c r="P510" t="s">
        <v>41</v>
      </c>
      <c r="Q510">
        <v>0</v>
      </c>
      <c r="R510" t="s">
        <v>50</v>
      </c>
      <c r="S510">
        <v>1971</v>
      </c>
      <c r="T510" t="s">
        <v>282</v>
      </c>
      <c r="U510" t="s">
        <v>40</v>
      </c>
      <c r="V510" t="s">
        <v>985</v>
      </c>
      <c r="W510" t="s">
        <v>40</v>
      </c>
      <c r="X510" t="s">
        <v>41</v>
      </c>
      <c r="Y510" t="s">
        <v>41</v>
      </c>
      <c r="Z510" t="s">
        <v>43</v>
      </c>
      <c r="AA510">
        <v>943</v>
      </c>
      <c r="AB510" t="s">
        <v>584</v>
      </c>
      <c r="AC510" t="s">
        <v>535</v>
      </c>
      <c r="AD510" t="s">
        <v>535</v>
      </c>
    </row>
    <row r="511" spans="1:30" x14ac:dyDescent="0.3">
      <c r="A511">
        <v>26697</v>
      </c>
      <c r="B511">
        <v>26697</v>
      </c>
      <c r="C511">
        <v>1</v>
      </c>
      <c r="D511" t="s">
        <v>986</v>
      </c>
      <c r="E511" t="s">
        <v>986</v>
      </c>
      <c r="F511" t="s">
        <v>102</v>
      </c>
      <c r="G511" t="s">
        <v>102</v>
      </c>
      <c r="H511" t="s">
        <v>39</v>
      </c>
      <c r="I511" t="s">
        <v>40</v>
      </c>
      <c r="J511" t="s">
        <v>41</v>
      </c>
      <c r="K511">
        <v>0</v>
      </c>
      <c r="L511">
        <v>0</v>
      </c>
      <c r="M511">
        <v>0</v>
      </c>
      <c r="N511">
        <v>196.219999999999</v>
      </c>
      <c r="O511">
        <v>194.978261595025</v>
      </c>
      <c r="P511" t="s">
        <v>41</v>
      </c>
      <c r="Q511">
        <v>0</v>
      </c>
      <c r="R511" t="s">
        <v>50</v>
      </c>
      <c r="S511">
        <v>1970</v>
      </c>
      <c r="T511" t="s">
        <v>40</v>
      </c>
      <c r="U511" t="s">
        <v>40</v>
      </c>
      <c r="V511" t="s">
        <v>40</v>
      </c>
      <c r="W511" t="s">
        <v>40</v>
      </c>
      <c r="X511" t="s">
        <v>41</v>
      </c>
      <c r="Y511" t="s">
        <v>41</v>
      </c>
      <c r="Z511" t="s">
        <v>43</v>
      </c>
      <c r="AA511">
        <v>290</v>
      </c>
      <c r="AB511" t="s">
        <v>987</v>
      </c>
      <c r="AC511" t="s">
        <v>535</v>
      </c>
      <c r="AD511" t="s">
        <v>535</v>
      </c>
    </row>
    <row r="512" spans="1:30" x14ac:dyDescent="0.3">
      <c r="A512">
        <v>26714</v>
      </c>
      <c r="B512">
        <v>26714</v>
      </c>
      <c r="C512">
        <v>1</v>
      </c>
      <c r="D512" t="s">
        <v>988</v>
      </c>
      <c r="E512" t="s">
        <v>988</v>
      </c>
      <c r="F512" t="s">
        <v>102</v>
      </c>
      <c r="G512" t="s">
        <v>102</v>
      </c>
      <c r="H512" t="s">
        <v>39</v>
      </c>
      <c r="I512" t="s">
        <v>40</v>
      </c>
      <c r="J512" t="s">
        <v>41</v>
      </c>
      <c r="K512">
        <v>0</v>
      </c>
      <c r="L512">
        <v>0</v>
      </c>
      <c r="M512">
        <v>0</v>
      </c>
      <c r="N512">
        <v>152</v>
      </c>
      <c r="O512">
        <v>147.13289096975799</v>
      </c>
      <c r="P512" t="s">
        <v>41</v>
      </c>
      <c r="Q512">
        <v>0</v>
      </c>
      <c r="R512" t="s">
        <v>50</v>
      </c>
      <c r="S512">
        <v>1964</v>
      </c>
      <c r="T512" t="s">
        <v>40</v>
      </c>
      <c r="U512" t="s">
        <v>40</v>
      </c>
      <c r="V512" t="s">
        <v>40</v>
      </c>
      <c r="W512" t="s">
        <v>40</v>
      </c>
      <c r="X512" t="s">
        <v>41</v>
      </c>
      <c r="Y512" t="s">
        <v>41</v>
      </c>
      <c r="Z512" t="s">
        <v>43</v>
      </c>
      <c r="AA512">
        <v>290</v>
      </c>
      <c r="AB512" t="s">
        <v>534</v>
      </c>
      <c r="AC512" t="s">
        <v>535</v>
      </c>
      <c r="AD512" t="s">
        <v>535</v>
      </c>
    </row>
    <row r="513" spans="1:30" x14ac:dyDescent="0.3">
      <c r="A513">
        <v>26791</v>
      </c>
      <c r="B513">
        <v>26791</v>
      </c>
      <c r="C513">
        <v>1</v>
      </c>
      <c r="D513" t="s">
        <v>989</v>
      </c>
      <c r="E513" t="s">
        <v>989</v>
      </c>
      <c r="F513" t="s">
        <v>102</v>
      </c>
      <c r="G513" t="s">
        <v>102</v>
      </c>
      <c r="H513" t="s">
        <v>39</v>
      </c>
      <c r="I513" t="s">
        <v>40</v>
      </c>
      <c r="J513" t="s">
        <v>41</v>
      </c>
      <c r="K513">
        <v>0</v>
      </c>
      <c r="L513">
        <v>0</v>
      </c>
      <c r="M513">
        <v>0</v>
      </c>
      <c r="N513">
        <v>18.739999999999899</v>
      </c>
      <c r="O513">
        <v>8.8451199539211007</v>
      </c>
      <c r="P513" t="s">
        <v>41</v>
      </c>
      <c r="Q513">
        <v>0</v>
      </c>
      <c r="R513" t="s">
        <v>50</v>
      </c>
      <c r="S513">
        <v>1968</v>
      </c>
      <c r="T513" t="s">
        <v>40</v>
      </c>
      <c r="U513" t="s">
        <v>40</v>
      </c>
      <c r="V513" t="s">
        <v>40</v>
      </c>
      <c r="W513" t="s">
        <v>40</v>
      </c>
      <c r="X513" t="s">
        <v>41</v>
      </c>
      <c r="Y513" t="s">
        <v>41</v>
      </c>
      <c r="Z513" t="s">
        <v>43</v>
      </c>
      <c r="AA513">
        <v>290</v>
      </c>
      <c r="AB513" t="s">
        <v>987</v>
      </c>
      <c r="AC513" t="s">
        <v>535</v>
      </c>
      <c r="AD513" t="s">
        <v>535</v>
      </c>
    </row>
    <row r="514" spans="1:30" x14ac:dyDescent="0.3">
      <c r="A514">
        <v>26945</v>
      </c>
      <c r="B514">
        <v>26945</v>
      </c>
      <c r="C514">
        <v>1</v>
      </c>
      <c r="D514" t="s">
        <v>990</v>
      </c>
      <c r="E514" t="s">
        <v>990</v>
      </c>
      <c r="F514" t="s">
        <v>102</v>
      </c>
      <c r="G514" t="s">
        <v>102</v>
      </c>
      <c r="H514" t="s">
        <v>39</v>
      </c>
      <c r="I514" t="s">
        <v>40</v>
      </c>
      <c r="J514" t="s">
        <v>41</v>
      </c>
      <c r="K514">
        <v>0</v>
      </c>
      <c r="L514">
        <v>0</v>
      </c>
      <c r="M514">
        <v>0</v>
      </c>
      <c r="N514">
        <v>66.53</v>
      </c>
      <c r="O514">
        <v>62.295196474669702</v>
      </c>
      <c r="P514" t="s">
        <v>41</v>
      </c>
      <c r="Q514">
        <v>0</v>
      </c>
      <c r="R514" t="s">
        <v>50</v>
      </c>
      <c r="S514">
        <v>1978</v>
      </c>
      <c r="T514" t="s">
        <v>40</v>
      </c>
      <c r="U514" t="s">
        <v>40</v>
      </c>
      <c r="V514" t="s">
        <v>40</v>
      </c>
      <c r="W514" t="s">
        <v>40</v>
      </c>
      <c r="X514" t="s">
        <v>41</v>
      </c>
      <c r="Y514" t="s">
        <v>41</v>
      </c>
      <c r="Z514" t="s">
        <v>43</v>
      </c>
      <c r="AA514">
        <v>290</v>
      </c>
      <c r="AB514" t="s">
        <v>534</v>
      </c>
      <c r="AC514" t="s">
        <v>535</v>
      </c>
      <c r="AD514" t="s">
        <v>535</v>
      </c>
    </row>
    <row r="515" spans="1:30" x14ac:dyDescent="0.3">
      <c r="A515">
        <v>26964</v>
      </c>
      <c r="B515">
        <v>26964</v>
      </c>
      <c r="C515">
        <v>1</v>
      </c>
      <c r="D515" t="s">
        <v>991</v>
      </c>
      <c r="E515" t="s">
        <v>991</v>
      </c>
      <c r="F515" t="s">
        <v>102</v>
      </c>
      <c r="G515" t="s">
        <v>102</v>
      </c>
      <c r="H515" t="s">
        <v>39</v>
      </c>
      <c r="I515" t="s">
        <v>40</v>
      </c>
      <c r="J515" t="s">
        <v>41</v>
      </c>
      <c r="K515">
        <v>0</v>
      </c>
      <c r="L515">
        <v>0</v>
      </c>
      <c r="M515">
        <v>0</v>
      </c>
      <c r="N515">
        <v>180.93</v>
      </c>
      <c r="O515">
        <v>230.892590407499</v>
      </c>
      <c r="P515" t="s">
        <v>41</v>
      </c>
      <c r="Q515">
        <v>0</v>
      </c>
      <c r="R515" t="s">
        <v>50</v>
      </c>
      <c r="S515">
        <v>1964</v>
      </c>
      <c r="T515" t="s">
        <v>40</v>
      </c>
      <c r="U515" t="s">
        <v>40</v>
      </c>
      <c r="V515" t="s">
        <v>40</v>
      </c>
      <c r="W515" t="s">
        <v>40</v>
      </c>
      <c r="X515" t="s">
        <v>41</v>
      </c>
      <c r="Y515" t="s">
        <v>41</v>
      </c>
      <c r="Z515" t="s">
        <v>43</v>
      </c>
      <c r="AA515">
        <v>290</v>
      </c>
      <c r="AB515" t="s">
        <v>584</v>
      </c>
      <c r="AC515" t="s">
        <v>535</v>
      </c>
      <c r="AD515" t="s">
        <v>535</v>
      </c>
    </row>
    <row r="516" spans="1:30" x14ac:dyDescent="0.3">
      <c r="A516">
        <v>27002</v>
      </c>
      <c r="B516">
        <v>27002</v>
      </c>
      <c r="C516">
        <v>1</v>
      </c>
      <c r="D516" t="s">
        <v>992</v>
      </c>
      <c r="E516" t="s">
        <v>992</v>
      </c>
      <c r="F516" t="s">
        <v>102</v>
      </c>
      <c r="G516" t="s">
        <v>102</v>
      </c>
      <c r="H516" t="s">
        <v>39</v>
      </c>
      <c r="I516" t="s">
        <v>40</v>
      </c>
      <c r="J516" t="s">
        <v>41</v>
      </c>
      <c r="K516">
        <v>0</v>
      </c>
      <c r="L516">
        <v>0</v>
      </c>
      <c r="M516">
        <v>0</v>
      </c>
      <c r="N516">
        <v>213.9</v>
      </c>
      <c r="O516">
        <v>296.480304959823</v>
      </c>
      <c r="P516" t="s">
        <v>41</v>
      </c>
      <c r="Q516">
        <v>0</v>
      </c>
      <c r="R516" t="s">
        <v>50</v>
      </c>
      <c r="S516">
        <v>1967</v>
      </c>
      <c r="T516" t="s">
        <v>40</v>
      </c>
      <c r="U516" t="s">
        <v>40</v>
      </c>
      <c r="V516" t="s">
        <v>40</v>
      </c>
      <c r="W516" t="s">
        <v>40</v>
      </c>
      <c r="X516" t="s">
        <v>41</v>
      </c>
      <c r="Y516" t="s">
        <v>41</v>
      </c>
      <c r="Z516" t="s">
        <v>43</v>
      </c>
      <c r="AA516">
        <v>290</v>
      </c>
      <c r="AB516" t="s">
        <v>987</v>
      </c>
      <c r="AC516" t="s">
        <v>535</v>
      </c>
      <c r="AD516" t="s">
        <v>535</v>
      </c>
    </row>
    <row r="517" spans="1:30" x14ac:dyDescent="0.3">
      <c r="A517">
        <v>27103</v>
      </c>
      <c r="B517">
        <v>27103</v>
      </c>
      <c r="C517">
        <v>1</v>
      </c>
      <c r="D517" t="s">
        <v>993</v>
      </c>
      <c r="E517" t="s">
        <v>993</v>
      </c>
      <c r="F517" t="s">
        <v>102</v>
      </c>
      <c r="G517" t="s">
        <v>102</v>
      </c>
      <c r="H517" t="s">
        <v>39</v>
      </c>
      <c r="I517" t="s">
        <v>40</v>
      </c>
      <c r="J517" t="s">
        <v>41</v>
      </c>
      <c r="K517">
        <v>0</v>
      </c>
      <c r="L517">
        <v>0</v>
      </c>
      <c r="M517">
        <v>0</v>
      </c>
      <c r="N517">
        <v>1340.3199999999899</v>
      </c>
      <c r="O517">
        <v>138.259895917411</v>
      </c>
      <c r="P517" t="s">
        <v>41</v>
      </c>
      <c r="Q517">
        <v>0</v>
      </c>
      <c r="R517" t="s">
        <v>50</v>
      </c>
      <c r="S517">
        <v>1967</v>
      </c>
      <c r="T517" t="s">
        <v>40</v>
      </c>
      <c r="U517" t="s">
        <v>40</v>
      </c>
      <c r="V517" t="s">
        <v>40</v>
      </c>
      <c r="W517" t="s">
        <v>40</v>
      </c>
      <c r="X517" t="s">
        <v>41</v>
      </c>
      <c r="Y517" t="s">
        <v>41</v>
      </c>
      <c r="Z517" t="s">
        <v>43</v>
      </c>
      <c r="AA517">
        <v>290</v>
      </c>
      <c r="AB517" t="s">
        <v>987</v>
      </c>
      <c r="AC517" t="s">
        <v>535</v>
      </c>
      <c r="AD517" t="s">
        <v>535</v>
      </c>
    </row>
    <row r="518" spans="1:30" x14ac:dyDescent="0.3">
      <c r="A518">
        <v>39905</v>
      </c>
      <c r="B518">
        <v>39905</v>
      </c>
      <c r="C518">
        <v>1</v>
      </c>
      <c r="D518" t="s">
        <v>994</v>
      </c>
      <c r="E518" t="s">
        <v>994</v>
      </c>
      <c r="F518" t="s">
        <v>102</v>
      </c>
      <c r="G518" t="s">
        <v>102</v>
      </c>
      <c r="H518" t="s">
        <v>39</v>
      </c>
      <c r="I518" t="s">
        <v>40</v>
      </c>
      <c r="J518" t="s">
        <v>41</v>
      </c>
      <c r="K518">
        <v>0</v>
      </c>
      <c r="L518">
        <v>0</v>
      </c>
      <c r="M518">
        <v>0</v>
      </c>
      <c r="N518">
        <v>37.899999999999899</v>
      </c>
      <c r="O518">
        <v>54.883068119081102</v>
      </c>
      <c r="P518" t="s">
        <v>41</v>
      </c>
      <c r="Q518">
        <v>0</v>
      </c>
      <c r="R518" t="s">
        <v>50</v>
      </c>
      <c r="S518">
        <v>1969</v>
      </c>
      <c r="T518" t="s">
        <v>40</v>
      </c>
      <c r="U518" t="s">
        <v>40</v>
      </c>
      <c r="V518" t="s">
        <v>40</v>
      </c>
      <c r="W518" t="s">
        <v>40</v>
      </c>
      <c r="X518" t="s">
        <v>41</v>
      </c>
      <c r="Y518" t="s">
        <v>41</v>
      </c>
      <c r="Z518" t="s">
        <v>43</v>
      </c>
      <c r="AA518">
        <v>290</v>
      </c>
      <c r="AB518" t="s">
        <v>534</v>
      </c>
      <c r="AC518" t="s">
        <v>535</v>
      </c>
      <c r="AD518" t="s">
        <v>535</v>
      </c>
    </row>
    <row r="519" spans="1:30" x14ac:dyDescent="0.3">
      <c r="A519">
        <v>301800</v>
      </c>
      <c r="B519">
        <v>301800</v>
      </c>
      <c r="C519">
        <v>1</v>
      </c>
      <c r="D519" t="s">
        <v>995</v>
      </c>
      <c r="E519" t="s">
        <v>995</v>
      </c>
      <c r="F519" t="s">
        <v>102</v>
      </c>
      <c r="G519" t="s">
        <v>102</v>
      </c>
      <c r="H519" t="s">
        <v>39</v>
      </c>
      <c r="I519" t="s">
        <v>40</v>
      </c>
      <c r="J519" t="s">
        <v>41</v>
      </c>
      <c r="K519">
        <v>0</v>
      </c>
      <c r="L519">
        <v>0</v>
      </c>
      <c r="M519">
        <v>0</v>
      </c>
      <c r="N519">
        <v>0</v>
      </c>
      <c r="O519">
        <v>63.507361303862702</v>
      </c>
      <c r="P519" t="s">
        <v>41</v>
      </c>
      <c r="Q519">
        <v>0</v>
      </c>
      <c r="R519" t="s">
        <v>50</v>
      </c>
      <c r="S519">
        <v>0</v>
      </c>
      <c r="T519" t="s">
        <v>40</v>
      </c>
      <c r="U519" t="s">
        <v>40</v>
      </c>
      <c r="V519" t="s">
        <v>40</v>
      </c>
      <c r="W519" t="s">
        <v>40</v>
      </c>
      <c r="X519" t="s">
        <v>41</v>
      </c>
      <c r="Y519" t="s">
        <v>41</v>
      </c>
      <c r="Z519" t="s">
        <v>43</v>
      </c>
      <c r="AA519">
        <v>290</v>
      </c>
      <c r="AB519" t="s">
        <v>584</v>
      </c>
      <c r="AC519" t="s">
        <v>535</v>
      </c>
      <c r="AD519" t="s">
        <v>535</v>
      </c>
    </row>
    <row r="520" spans="1:30" x14ac:dyDescent="0.3">
      <c r="A520">
        <v>301821</v>
      </c>
      <c r="B520">
        <v>301821</v>
      </c>
      <c r="C520">
        <v>1</v>
      </c>
      <c r="D520" t="s">
        <v>996</v>
      </c>
      <c r="E520" t="s">
        <v>996</v>
      </c>
      <c r="F520" t="s">
        <v>102</v>
      </c>
      <c r="G520" t="s">
        <v>102</v>
      </c>
      <c r="H520" t="s">
        <v>39</v>
      </c>
      <c r="I520" t="s">
        <v>40</v>
      </c>
      <c r="J520" t="s">
        <v>41</v>
      </c>
      <c r="K520">
        <v>0</v>
      </c>
      <c r="L520">
        <v>0</v>
      </c>
      <c r="M520">
        <v>0</v>
      </c>
      <c r="N520">
        <v>0</v>
      </c>
      <c r="O520">
        <v>46.395741328577799</v>
      </c>
      <c r="P520" t="s">
        <v>41</v>
      </c>
      <c r="Q520">
        <v>0</v>
      </c>
      <c r="R520" t="s">
        <v>50</v>
      </c>
      <c r="S520">
        <v>0</v>
      </c>
      <c r="T520" t="s">
        <v>40</v>
      </c>
      <c r="U520" t="s">
        <v>40</v>
      </c>
      <c r="V520" t="s">
        <v>40</v>
      </c>
      <c r="W520" t="s">
        <v>40</v>
      </c>
      <c r="X520" t="s">
        <v>41</v>
      </c>
      <c r="Y520" t="s">
        <v>41</v>
      </c>
      <c r="Z520" t="s">
        <v>43</v>
      </c>
      <c r="AA520">
        <v>290</v>
      </c>
      <c r="AB520" t="s">
        <v>987</v>
      </c>
      <c r="AC520" t="s">
        <v>535</v>
      </c>
      <c r="AD520" t="s">
        <v>535</v>
      </c>
    </row>
    <row r="521" spans="1:30" x14ac:dyDescent="0.3">
      <c r="A521">
        <v>301820</v>
      </c>
      <c r="B521">
        <v>301820</v>
      </c>
      <c r="C521">
        <v>1</v>
      </c>
      <c r="D521" t="s">
        <v>997</v>
      </c>
      <c r="E521" t="s">
        <v>997</v>
      </c>
      <c r="F521" t="s">
        <v>102</v>
      </c>
      <c r="G521" t="s">
        <v>102</v>
      </c>
      <c r="H521" t="s">
        <v>39</v>
      </c>
      <c r="I521" t="s">
        <v>40</v>
      </c>
      <c r="J521" t="s">
        <v>41</v>
      </c>
      <c r="K521">
        <v>0</v>
      </c>
      <c r="L521">
        <v>0</v>
      </c>
      <c r="M521">
        <v>0</v>
      </c>
      <c r="N521">
        <v>0</v>
      </c>
      <c r="O521">
        <v>51.276247296590597</v>
      </c>
      <c r="P521" t="s">
        <v>41</v>
      </c>
      <c r="Q521">
        <v>0</v>
      </c>
      <c r="R521" t="s">
        <v>50</v>
      </c>
      <c r="S521">
        <v>0</v>
      </c>
      <c r="T521" t="s">
        <v>40</v>
      </c>
      <c r="U521" t="s">
        <v>40</v>
      </c>
      <c r="V521" t="s">
        <v>40</v>
      </c>
      <c r="W521" t="s">
        <v>40</v>
      </c>
      <c r="X521" t="s">
        <v>41</v>
      </c>
      <c r="Y521" t="s">
        <v>41</v>
      </c>
      <c r="Z521" t="s">
        <v>43</v>
      </c>
      <c r="AA521">
        <v>290</v>
      </c>
      <c r="AB521" t="s">
        <v>987</v>
      </c>
      <c r="AC521" t="s">
        <v>535</v>
      </c>
      <c r="AD521" t="s">
        <v>535</v>
      </c>
    </row>
    <row r="522" spans="1:30" x14ac:dyDescent="0.3">
      <c r="A522">
        <v>902679</v>
      </c>
      <c r="B522">
        <v>902679</v>
      </c>
      <c r="C522">
        <v>1</v>
      </c>
      <c r="D522" t="s">
        <v>998</v>
      </c>
      <c r="E522" t="s">
        <v>998</v>
      </c>
      <c r="F522" t="s">
        <v>116</v>
      </c>
      <c r="G522" t="s">
        <v>116</v>
      </c>
      <c r="H522" t="s">
        <v>82</v>
      </c>
      <c r="I522" t="s">
        <v>40</v>
      </c>
      <c r="J522" t="s">
        <v>999</v>
      </c>
      <c r="K522">
        <v>0</v>
      </c>
      <c r="L522">
        <v>0</v>
      </c>
      <c r="M522">
        <v>414.59773805543801</v>
      </c>
      <c r="N522">
        <v>31711.72</v>
      </c>
      <c r="O522">
        <v>31656.665218934701</v>
      </c>
      <c r="P522" t="s">
        <v>41</v>
      </c>
      <c r="Q522">
        <v>0</v>
      </c>
      <c r="R522" t="s">
        <v>50</v>
      </c>
      <c r="S522">
        <v>2004</v>
      </c>
      <c r="T522" t="s">
        <v>66</v>
      </c>
      <c r="U522" t="s">
        <v>40</v>
      </c>
      <c r="V522" t="s">
        <v>40</v>
      </c>
      <c r="W522" t="s">
        <v>180</v>
      </c>
      <c r="X522" t="s">
        <v>41</v>
      </c>
      <c r="Y522" t="s">
        <v>41</v>
      </c>
      <c r="Z522" t="s">
        <v>43</v>
      </c>
      <c r="AA522">
        <v>1856</v>
      </c>
      <c r="AB522" t="s">
        <v>1000</v>
      </c>
      <c r="AC522" t="s">
        <v>799</v>
      </c>
      <c r="AD522" t="s">
        <v>799</v>
      </c>
    </row>
    <row r="523" spans="1:30" x14ac:dyDescent="0.3">
      <c r="A523">
        <v>40881</v>
      </c>
      <c r="B523">
        <v>40881</v>
      </c>
      <c r="C523">
        <v>1</v>
      </c>
      <c r="D523" t="s">
        <v>1001</v>
      </c>
      <c r="E523" t="s">
        <v>1002</v>
      </c>
      <c r="F523" t="s">
        <v>102</v>
      </c>
      <c r="G523" t="s">
        <v>102</v>
      </c>
      <c r="H523" t="s">
        <v>39</v>
      </c>
      <c r="I523" t="s">
        <v>49</v>
      </c>
      <c r="J523" t="s">
        <v>41</v>
      </c>
      <c r="K523">
        <v>0</v>
      </c>
      <c r="L523">
        <v>0</v>
      </c>
      <c r="M523">
        <v>0</v>
      </c>
      <c r="N523">
        <v>5.2004461129999999</v>
      </c>
      <c r="O523">
        <v>5.1922772156274304</v>
      </c>
      <c r="P523" t="s">
        <v>41</v>
      </c>
      <c r="Q523">
        <v>0</v>
      </c>
      <c r="R523" t="s">
        <v>50</v>
      </c>
      <c r="S523">
        <v>1930</v>
      </c>
      <c r="T523" t="s">
        <v>66</v>
      </c>
      <c r="U523" t="s">
        <v>51</v>
      </c>
      <c r="V523" t="s">
        <v>212</v>
      </c>
      <c r="W523" t="s">
        <v>213</v>
      </c>
      <c r="X523" t="s">
        <v>41</v>
      </c>
      <c r="Y523" t="s">
        <v>41</v>
      </c>
      <c r="Z523" t="s">
        <v>43</v>
      </c>
      <c r="AA523">
        <v>1972</v>
      </c>
      <c r="AB523" t="s">
        <v>721</v>
      </c>
      <c r="AC523" t="s">
        <v>215</v>
      </c>
      <c r="AD523" t="s">
        <v>215</v>
      </c>
    </row>
    <row r="524" spans="1:30" x14ac:dyDescent="0.3">
      <c r="A524">
        <v>2347</v>
      </c>
      <c r="B524">
        <v>2347</v>
      </c>
      <c r="C524">
        <v>1</v>
      </c>
      <c r="D524" t="s">
        <v>1003</v>
      </c>
      <c r="E524" t="s">
        <v>1003</v>
      </c>
      <c r="F524" t="s">
        <v>123</v>
      </c>
      <c r="G524" t="s">
        <v>123</v>
      </c>
      <c r="H524" t="s">
        <v>39</v>
      </c>
      <c r="I524" t="s">
        <v>124</v>
      </c>
      <c r="J524" t="s">
        <v>41</v>
      </c>
      <c r="K524">
        <v>0</v>
      </c>
      <c r="L524">
        <v>0</v>
      </c>
      <c r="M524">
        <v>0</v>
      </c>
      <c r="N524">
        <v>70</v>
      </c>
      <c r="O524">
        <v>69.705391166409797</v>
      </c>
      <c r="P524" t="s">
        <v>41</v>
      </c>
      <c r="Q524">
        <v>0</v>
      </c>
      <c r="R524" t="s">
        <v>50</v>
      </c>
      <c r="S524">
        <v>1971</v>
      </c>
      <c r="T524" t="s">
        <v>66</v>
      </c>
      <c r="U524" t="s">
        <v>51</v>
      </c>
      <c r="V524" t="s">
        <v>985</v>
      </c>
      <c r="W524" t="s">
        <v>40</v>
      </c>
      <c r="X524" t="s">
        <v>41</v>
      </c>
      <c r="Y524" t="s">
        <v>41</v>
      </c>
      <c r="Z524" t="s">
        <v>43</v>
      </c>
      <c r="AA524">
        <v>943</v>
      </c>
      <c r="AB524" t="s">
        <v>987</v>
      </c>
      <c r="AC524" t="s">
        <v>535</v>
      </c>
      <c r="AD524" t="s">
        <v>535</v>
      </c>
    </row>
    <row r="525" spans="1:30" x14ac:dyDescent="0.3">
      <c r="A525">
        <v>4081</v>
      </c>
      <c r="B525">
        <v>4081</v>
      </c>
      <c r="C525">
        <v>1</v>
      </c>
      <c r="D525" t="s">
        <v>1004</v>
      </c>
      <c r="E525" t="s">
        <v>1004</v>
      </c>
      <c r="F525" t="s">
        <v>984</v>
      </c>
      <c r="G525" t="s">
        <v>984</v>
      </c>
      <c r="H525" t="s">
        <v>39</v>
      </c>
      <c r="I525" t="s">
        <v>49</v>
      </c>
      <c r="J525" t="s">
        <v>41</v>
      </c>
      <c r="K525">
        <v>0</v>
      </c>
      <c r="L525">
        <v>0</v>
      </c>
      <c r="M525">
        <v>0</v>
      </c>
      <c r="N525">
        <v>43422</v>
      </c>
      <c r="O525">
        <v>43231.224466681502</v>
      </c>
      <c r="P525" t="s">
        <v>41</v>
      </c>
      <c r="Q525">
        <v>0</v>
      </c>
      <c r="R525" t="s">
        <v>50</v>
      </c>
      <c r="S525">
        <v>1971</v>
      </c>
      <c r="T525" t="s">
        <v>282</v>
      </c>
      <c r="U525" t="s">
        <v>40</v>
      </c>
      <c r="V525" t="s">
        <v>985</v>
      </c>
      <c r="W525" t="s">
        <v>40</v>
      </c>
      <c r="X525" t="s">
        <v>41</v>
      </c>
      <c r="Y525" t="s">
        <v>41</v>
      </c>
      <c r="Z525" t="s">
        <v>43</v>
      </c>
      <c r="AA525">
        <v>943</v>
      </c>
      <c r="AB525" t="s">
        <v>1005</v>
      </c>
      <c r="AC525" t="s">
        <v>535</v>
      </c>
      <c r="AD525" t="s">
        <v>535</v>
      </c>
    </row>
    <row r="526" spans="1:30" x14ac:dyDescent="0.3">
      <c r="A526">
        <v>303859</v>
      </c>
      <c r="B526">
        <v>303859</v>
      </c>
      <c r="C526">
        <v>1</v>
      </c>
      <c r="D526" t="s">
        <v>1006</v>
      </c>
      <c r="E526" t="s">
        <v>1006</v>
      </c>
      <c r="F526" t="s">
        <v>984</v>
      </c>
      <c r="G526" t="s">
        <v>984</v>
      </c>
      <c r="H526" t="s">
        <v>39</v>
      </c>
      <c r="I526" t="s">
        <v>49</v>
      </c>
      <c r="J526" t="s">
        <v>41</v>
      </c>
      <c r="K526">
        <v>0</v>
      </c>
      <c r="L526">
        <v>0</v>
      </c>
      <c r="M526">
        <v>0</v>
      </c>
      <c r="N526">
        <v>3269</v>
      </c>
      <c r="O526">
        <v>3263.1718051831299</v>
      </c>
      <c r="P526" t="s">
        <v>41</v>
      </c>
      <c r="Q526">
        <v>0</v>
      </c>
      <c r="R526" t="s">
        <v>50</v>
      </c>
      <c r="S526">
        <v>1980</v>
      </c>
      <c r="T526" t="s">
        <v>282</v>
      </c>
      <c r="U526" t="s">
        <v>40</v>
      </c>
      <c r="V526" t="s">
        <v>985</v>
      </c>
      <c r="W526" t="s">
        <v>40</v>
      </c>
      <c r="X526" t="s">
        <v>41</v>
      </c>
      <c r="Y526" t="s">
        <v>41</v>
      </c>
      <c r="Z526" t="s">
        <v>43</v>
      </c>
      <c r="AA526">
        <v>943</v>
      </c>
      <c r="AB526" t="s">
        <v>603</v>
      </c>
      <c r="AC526" t="s">
        <v>535</v>
      </c>
      <c r="AD526" t="s">
        <v>535</v>
      </c>
    </row>
    <row r="527" spans="1:30" x14ac:dyDescent="0.3">
      <c r="A527">
        <v>7962</v>
      </c>
      <c r="B527">
        <v>7962</v>
      </c>
      <c r="C527">
        <v>1</v>
      </c>
      <c r="D527" t="s">
        <v>1007</v>
      </c>
      <c r="E527" t="s">
        <v>1007</v>
      </c>
      <c r="F527" t="s">
        <v>123</v>
      </c>
      <c r="G527" t="s">
        <v>123</v>
      </c>
      <c r="H527" t="s">
        <v>39</v>
      </c>
      <c r="I527" t="s">
        <v>124</v>
      </c>
      <c r="J527" t="s">
        <v>41</v>
      </c>
      <c r="K527">
        <v>0</v>
      </c>
      <c r="L527">
        <v>0</v>
      </c>
      <c r="M527">
        <v>0</v>
      </c>
      <c r="N527">
        <v>4143</v>
      </c>
      <c r="O527">
        <v>4138.0441390727201</v>
      </c>
      <c r="P527" t="s">
        <v>41</v>
      </c>
      <c r="Q527">
        <v>0</v>
      </c>
      <c r="R527" t="s">
        <v>50</v>
      </c>
      <c r="S527">
        <v>1983</v>
      </c>
      <c r="T527" t="s">
        <v>66</v>
      </c>
      <c r="U527" t="s">
        <v>51</v>
      </c>
      <c r="V527" t="s">
        <v>985</v>
      </c>
      <c r="W527" t="s">
        <v>40</v>
      </c>
      <c r="X527" t="s">
        <v>41</v>
      </c>
      <c r="Y527" t="s">
        <v>41</v>
      </c>
      <c r="Z527" t="s">
        <v>43</v>
      </c>
      <c r="AA527">
        <v>943</v>
      </c>
      <c r="AB527" t="s">
        <v>603</v>
      </c>
      <c r="AC527" t="s">
        <v>535</v>
      </c>
      <c r="AD527" t="s">
        <v>535</v>
      </c>
    </row>
    <row r="528" spans="1:30" x14ac:dyDescent="0.3">
      <c r="A528">
        <v>37044</v>
      </c>
      <c r="B528">
        <v>37044</v>
      </c>
      <c r="C528">
        <v>1</v>
      </c>
      <c r="D528" t="s">
        <v>1008</v>
      </c>
      <c r="E528" t="s">
        <v>1008</v>
      </c>
      <c r="F528" t="s">
        <v>677</v>
      </c>
      <c r="G528" t="s">
        <v>678</v>
      </c>
      <c r="H528" t="s">
        <v>39</v>
      </c>
      <c r="I528" t="s">
        <v>40</v>
      </c>
      <c r="J528" t="s">
        <v>41</v>
      </c>
      <c r="K528">
        <v>0</v>
      </c>
      <c r="L528">
        <v>12.7899999999999</v>
      </c>
      <c r="M528">
        <v>48.8838975700831</v>
      </c>
      <c r="N528">
        <v>1000</v>
      </c>
      <c r="O528">
        <v>696.58782753238904</v>
      </c>
      <c r="P528" t="s">
        <v>41</v>
      </c>
      <c r="Q528">
        <v>0</v>
      </c>
      <c r="R528" t="s">
        <v>50</v>
      </c>
      <c r="S528">
        <v>1992</v>
      </c>
      <c r="T528" t="s">
        <v>40</v>
      </c>
      <c r="U528" t="s">
        <v>51</v>
      </c>
      <c r="V528" t="s">
        <v>40</v>
      </c>
      <c r="W528" t="s">
        <v>40</v>
      </c>
      <c r="X528" t="s">
        <v>41</v>
      </c>
      <c r="Y528" t="s">
        <v>41</v>
      </c>
      <c r="Z528" t="s">
        <v>43</v>
      </c>
      <c r="AA528">
        <v>1962</v>
      </c>
      <c r="AB528" t="s">
        <v>1009</v>
      </c>
      <c r="AC528" t="s">
        <v>667</v>
      </c>
      <c r="AD528" t="s">
        <v>667</v>
      </c>
    </row>
    <row r="529" spans="1:30" x14ac:dyDescent="0.3">
      <c r="A529">
        <v>555512071</v>
      </c>
      <c r="B529">
        <v>555512071</v>
      </c>
      <c r="C529">
        <v>1</v>
      </c>
      <c r="D529" t="s">
        <v>1010</v>
      </c>
      <c r="E529" t="s">
        <v>1010</v>
      </c>
      <c r="F529" t="s">
        <v>673</v>
      </c>
      <c r="G529" t="s">
        <v>674</v>
      </c>
      <c r="H529" t="s">
        <v>39</v>
      </c>
      <c r="I529" t="s">
        <v>40</v>
      </c>
      <c r="J529" t="s">
        <v>41</v>
      </c>
      <c r="K529">
        <v>0</v>
      </c>
      <c r="L529">
        <v>0</v>
      </c>
      <c r="M529">
        <v>0</v>
      </c>
      <c r="N529">
        <v>310.593323994</v>
      </c>
      <c r="O529">
        <v>310.00050075979902</v>
      </c>
      <c r="P529" t="s">
        <v>41</v>
      </c>
      <c r="Q529">
        <v>0</v>
      </c>
      <c r="R529" t="s">
        <v>50</v>
      </c>
      <c r="S529">
        <v>1976</v>
      </c>
      <c r="T529" t="s">
        <v>40</v>
      </c>
      <c r="U529" t="s">
        <v>40</v>
      </c>
      <c r="V529" t="s">
        <v>40</v>
      </c>
      <c r="W529" t="s">
        <v>40</v>
      </c>
      <c r="X529" t="s">
        <v>41</v>
      </c>
      <c r="Y529" t="s">
        <v>41</v>
      </c>
      <c r="Z529" t="s">
        <v>43</v>
      </c>
      <c r="AA529">
        <v>1962</v>
      </c>
      <c r="AB529" t="s">
        <v>1009</v>
      </c>
      <c r="AC529" t="s">
        <v>667</v>
      </c>
      <c r="AD529" t="s">
        <v>667</v>
      </c>
    </row>
    <row r="530" spans="1:30" x14ac:dyDescent="0.3">
      <c r="A530">
        <v>555697864</v>
      </c>
      <c r="B530">
        <v>555697864</v>
      </c>
      <c r="C530">
        <v>1</v>
      </c>
      <c r="D530" t="s">
        <v>1011</v>
      </c>
      <c r="E530" t="s">
        <v>1011</v>
      </c>
      <c r="F530" t="s">
        <v>677</v>
      </c>
      <c r="G530" t="s">
        <v>678</v>
      </c>
      <c r="H530" t="s">
        <v>39</v>
      </c>
      <c r="I530" t="s">
        <v>40</v>
      </c>
      <c r="J530" t="s">
        <v>41</v>
      </c>
      <c r="K530">
        <v>0</v>
      </c>
      <c r="L530">
        <v>0</v>
      </c>
      <c r="M530">
        <v>0</v>
      </c>
      <c r="N530">
        <v>34.383023687300003</v>
      </c>
      <c r="O530">
        <v>34.4467228861932</v>
      </c>
      <c r="P530" t="s">
        <v>41</v>
      </c>
      <c r="Q530">
        <v>0</v>
      </c>
      <c r="R530" t="s">
        <v>50</v>
      </c>
      <c r="S530">
        <v>1983</v>
      </c>
      <c r="T530" t="s">
        <v>40</v>
      </c>
      <c r="U530" t="s">
        <v>40</v>
      </c>
      <c r="V530" t="s">
        <v>40</v>
      </c>
      <c r="W530" t="s">
        <v>40</v>
      </c>
      <c r="X530" t="s">
        <v>41</v>
      </c>
      <c r="Y530" t="s">
        <v>41</v>
      </c>
      <c r="Z530" t="s">
        <v>43</v>
      </c>
      <c r="AA530">
        <v>1962</v>
      </c>
      <c r="AB530" t="s">
        <v>40</v>
      </c>
      <c r="AC530" t="s">
        <v>667</v>
      </c>
      <c r="AD530" t="s">
        <v>667</v>
      </c>
    </row>
    <row r="531" spans="1:30" x14ac:dyDescent="0.3">
      <c r="A531">
        <v>109034</v>
      </c>
      <c r="B531">
        <v>109034</v>
      </c>
      <c r="C531">
        <v>1</v>
      </c>
      <c r="D531" t="s">
        <v>1012</v>
      </c>
      <c r="E531" t="s">
        <v>1012</v>
      </c>
      <c r="F531" t="s">
        <v>353</v>
      </c>
      <c r="G531" t="s">
        <v>116</v>
      </c>
      <c r="H531" t="s">
        <v>82</v>
      </c>
      <c r="I531" t="s">
        <v>40</v>
      </c>
      <c r="J531" t="s">
        <v>935</v>
      </c>
      <c r="K531">
        <v>0</v>
      </c>
      <c r="L531">
        <v>0</v>
      </c>
      <c r="M531">
        <v>123.840304888107</v>
      </c>
      <c r="N531">
        <v>8627</v>
      </c>
      <c r="O531">
        <v>13637.1673243156</v>
      </c>
      <c r="P531" t="s">
        <v>41</v>
      </c>
      <c r="Q531">
        <v>0</v>
      </c>
      <c r="R531" t="s">
        <v>50</v>
      </c>
      <c r="S531">
        <v>2009</v>
      </c>
      <c r="T531" t="s">
        <v>40</v>
      </c>
      <c r="U531" t="s">
        <v>40</v>
      </c>
      <c r="V531" t="s">
        <v>40</v>
      </c>
      <c r="W531" t="s">
        <v>180</v>
      </c>
      <c r="X531" t="s">
        <v>41</v>
      </c>
      <c r="Y531" t="s">
        <v>41</v>
      </c>
      <c r="Z531" t="s">
        <v>43</v>
      </c>
      <c r="AA531">
        <v>1856</v>
      </c>
      <c r="AB531" t="s">
        <v>1013</v>
      </c>
      <c r="AC531" t="s">
        <v>1014</v>
      </c>
      <c r="AD531" t="s">
        <v>1014</v>
      </c>
    </row>
    <row r="532" spans="1:30" x14ac:dyDescent="0.3">
      <c r="A532">
        <v>313361</v>
      </c>
      <c r="B532">
        <v>313361</v>
      </c>
      <c r="C532">
        <v>1</v>
      </c>
      <c r="D532" t="s">
        <v>1015</v>
      </c>
      <c r="E532" t="s">
        <v>1015</v>
      </c>
      <c r="F532" t="s">
        <v>677</v>
      </c>
      <c r="G532" t="s">
        <v>678</v>
      </c>
      <c r="H532" t="s">
        <v>39</v>
      </c>
      <c r="I532" t="s">
        <v>74</v>
      </c>
      <c r="J532" t="s">
        <v>41</v>
      </c>
      <c r="K532">
        <v>0</v>
      </c>
      <c r="L532">
        <v>0</v>
      </c>
      <c r="M532">
        <v>2.4699522885942899</v>
      </c>
      <c r="N532">
        <v>330</v>
      </c>
      <c r="O532">
        <v>337.00104185201701</v>
      </c>
      <c r="P532" t="s">
        <v>41</v>
      </c>
      <c r="Q532">
        <v>0</v>
      </c>
      <c r="R532" t="s">
        <v>50</v>
      </c>
      <c r="S532">
        <v>2000</v>
      </c>
      <c r="T532" t="s">
        <v>40</v>
      </c>
      <c r="U532" t="s">
        <v>40</v>
      </c>
      <c r="V532" t="s">
        <v>40</v>
      </c>
      <c r="W532" t="s">
        <v>1016</v>
      </c>
      <c r="X532" t="s">
        <v>41</v>
      </c>
      <c r="Y532" t="s">
        <v>41</v>
      </c>
      <c r="Z532" t="s">
        <v>43</v>
      </c>
      <c r="AA532">
        <v>1960</v>
      </c>
      <c r="AB532" t="s">
        <v>1017</v>
      </c>
      <c r="AC532" t="s">
        <v>1018</v>
      </c>
      <c r="AD532" t="s">
        <v>1018</v>
      </c>
    </row>
    <row r="533" spans="1:30" x14ac:dyDescent="0.3">
      <c r="A533">
        <v>901295</v>
      </c>
      <c r="B533">
        <v>901295</v>
      </c>
      <c r="C533">
        <v>1</v>
      </c>
      <c r="D533" t="s">
        <v>1019</v>
      </c>
      <c r="E533" t="s">
        <v>1019</v>
      </c>
      <c r="F533" t="s">
        <v>353</v>
      </c>
      <c r="G533" t="s">
        <v>116</v>
      </c>
      <c r="H533" t="s">
        <v>82</v>
      </c>
      <c r="I533" t="s">
        <v>40</v>
      </c>
      <c r="J533" t="s">
        <v>1020</v>
      </c>
      <c r="K533">
        <v>0</v>
      </c>
      <c r="L533">
        <v>0</v>
      </c>
      <c r="M533">
        <v>1.9235019572273</v>
      </c>
      <c r="N533">
        <v>330</v>
      </c>
      <c r="O533">
        <v>333.65097499365402</v>
      </c>
      <c r="P533" t="s">
        <v>41</v>
      </c>
      <c r="Q533">
        <v>0</v>
      </c>
      <c r="R533" t="s">
        <v>50</v>
      </c>
      <c r="S533">
        <v>2003</v>
      </c>
      <c r="T533" t="s">
        <v>40</v>
      </c>
      <c r="U533" t="s">
        <v>40</v>
      </c>
      <c r="V533" t="s">
        <v>40</v>
      </c>
      <c r="W533" t="s">
        <v>243</v>
      </c>
      <c r="X533" t="s">
        <v>41</v>
      </c>
      <c r="Y533" t="s">
        <v>41</v>
      </c>
      <c r="Z533" t="s">
        <v>43</v>
      </c>
      <c r="AA533">
        <v>1856</v>
      </c>
      <c r="AB533" t="s">
        <v>1017</v>
      </c>
      <c r="AC533" t="s">
        <v>1018</v>
      </c>
      <c r="AD533" t="s">
        <v>1018</v>
      </c>
    </row>
    <row r="534" spans="1:30" x14ac:dyDescent="0.3">
      <c r="A534">
        <v>2299</v>
      </c>
      <c r="B534">
        <v>2299</v>
      </c>
      <c r="C534">
        <v>1</v>
      </c>
      <c r="D534" t="s">
        <v>1021</v>
      </c>
      <c r="E534" t="s">
        <v>1021</v>
      </c>
      <c r="F534" t="s">
        <v>203</v>
      </c>
      <c r="G534" t="s">
        <v>203</v>
      </c>
      <c r="H534" t="s">
        <v>39</v>
      </c>
      <c r="I534" t="s">
        <v>124</v>
      </c>
      <c r="J534" t="s">
        <v>41</v>
      </c>
      <c r="K534">
        <v>0</v>
      </c>
      <c r="L534">
        <v>0</v>
      </c>
      <c r="M534">
        <v>0</v>
      </c>
      <c r="N534">
        <v>169</v>
      </c>
      <c r="O534">
        <v>170.14353094170201</v>
      </c>
      <c r="P534" t="s">
        <v>41</v>
      </c>
      <c r="Q534">
        <v>0</v>
      </c>
      <c r="R534" t="s">
        <v>50</v>
      </c>
      <c r="S534">
        <v>1976</v>
      </c>
      <c r="T534" t="s">
        <v>66</v>
      </c>
      <c r="U534" t="s">
        <v>51</v>
      </c>
      <c r="V534" t="s">
        <v>204</v>
      </c>
      <c r="W534" t="s">
        <v>40</v>
      </c>
      <c r="X534" t="s">
        <v>41</v>
      </c>
      <c r="Y534" t="s">
        <v>41</v>
      </c>
      <c r="Z534" t="s">
        <v>43</v>
      </c>
      <c r="AA534">
        <v>933</v>
      </c>
      <c r="AB534" t="s">
        <v>40</v>
      </c>
      <c r="AC534" t="s">
        <v>87</v>
      </c>
      <c r="AD534" t="s">
        <v>87</v>
      </c>
    </row>
    <row r="535" spans="1:30" x14ac:dyDescent="0.3">
      <c r="A535">
        <v>40742</v>
      </c>
      <c r="B535">
        <v>40742</v>
      </c>
      <c r="C535">
        <v>1</v>
      </c>
      <c r="D535" t="s">
        <v>1022</v>
      </c>
      <c r="E535" t="s">
        <v>1022</v>
      </c>
      <c r="F535" t="s">
        <v>102</v>
      </c>
      <c r="G535" t="s">
        <v>102</v>
      </c>
      <c r="H535" t="s">
        <v>39</v>
      </c>
      <c r="I535" t="s">
        <v>49</v>
      </c>
      <c r="J535" t="s">
        <v>41</v>
      </c>
      <c r="K535">
        <v>0</v>
      </c>
      <c r="L535">
        <v>0</v>
      </c>
      <c r="M535">
        <v>0</v>
      </c>
      <c r="N535">
        <v>13.150344</v>
      </c>
      <c r="O535">
        <v>21.945521427560902</v>
      </c>
      <c r="P535" t="s">
        <v>41</v>
      </c>
      <c r="Q535">
        <v>0</v>
      </c>
      <c r="R535" t="s">
        <v>50</v>
      </c>
      <c r="S535">
        <v>1937</v>
      </c>
      <c r="T535" t="s">
        <v>66</v>
      </c>
      <c r="U535" t="s">
        <v>211</v>
      </c>
      <c r="V535" t="s">
        <v>212</v>
      </c>
      <c r="W535" t="s">
        <v>213</v>
      </c>
      <c r="X535" t="s">
        <v>41</v>
      </c>
      <c r="Y535" t="s">
        <v>41</v>
      </c>
      <c r="Z535" t="s">
        <v>43</v>
      </c>
      <c r="AA535">
        <v>1972</v>
      </c>
      <c r="AB535" t="s">
        <v>1023</v>
      </c>
      <c r="AC535" t="s">
        <v>215</v>
      </c>
      <c r="AD535" t="s">
        <v>215</v>
      </c>
    </row>
    <row r="536" spans="1:30" x14ac:dyDescent="0.3">
      <c r="A536">
        <v>40733</v>
      </c>
      <c r="B536">
        <v>40733</v>
      </c>
      <c r="C536">
        <v>1</v>
      </c>
      <c r="D536" t="s">
        <v>1024</v>
      </c>
      <c r="E536" t="s">
        <v>1024</v>
      </c>
      <c r="F536" t="s">
        <v>102</v>
      </c>
      <c r="G536" t="s">
        <v>102</v>
      </c>
      <c r="H536" t="s">
        <v>39</v>
      </c>
      <c r="I536" t="s">
        <v>49</v>
      </c>
      <c r="J536" t="s">
        <v>41</v>
      </c>
      <c r="K536">
        <v>0</v>
      </c>
      <c r="L536">
        <v>0</v>
      </c>
      <c r="M536">
        <v>0</v>
      </c>
      <c r="N536">
        <v>2.5841100840000002</v>
      </c>
      <c r="O536">
        <v>2.5844248829915601</v>
      </c>
      <c r="P536" t="s">
        <v>41</v>
      </c>
      <c r="Q536">
        <v>0</v>
      </c>
      <c r="R536" t="s">
        <v>50</v>
      </c>
      <c r="S536">
        <v>1946</v>
      </c>
      <c r="T536" t="s">
        <v>66</v>
      </c>
      <c r="U536" t="s">
        <v>211</v>
      </c>
      <c r="V536" t="s">
        <v>212</v>
      </c>
      <c r="W536" t="s">
        <v>213</v>
      </c>
      <c r="X536" t="s">
        <v>41</v>
      </c>
      <c r="Y536" t="s">
        <v>41</v>
      </c>
      <c r="Z536" t="s">
        <v>43</v>
      </c>
      <c r="AA536">
        <v>1972</v>
      </c>
      <c r="AB536" t="s">
        <v>1023</v>
      </c>
      <c r="AC536" t="s">
        <v>215</v>
      </c>
      <c r="AD536" t="s">
        <v>215</v>
      </c>
    </row>
    <row r="537" spans="1:30" x14ac:dyDescent="0.3">
      <c r="A537">
        <v>40885</v>
      </c>
      <c r="B537">
        <v>40885</v>
      </c>
      <c r="C537">
        <v>1</v>
      </c>
      <c r="D537" t="s">
        <v>1025</v>
      </c>
      <c r="E537" t="s">
        <v>1025</v>
      </c>
      <c r="F537" t="s">
        <v>102</v>
      </c>
      <c r="G537" t="s">
        <v>102</v>
      </c>
      <c r="H537" t="s">
        <v>39</v>
      </c>
      <c r="I537" t="s">
        <v>49</v>
      </c>
      <c r="J537" t="s">
        <v>41</v>
      </c>
      <c r="K537">
        <v>0</v>
      </c>
      <c r="L537">
        <v>0</v>
      </c>
      <c r="M537">
        <v>0</v>
      </c>
      <c r="N537">
        <v>2.6159531450000002</v>
      </c>
      <c r="O537">
        <v>2.6166862814498</v>
      </c>
      <c r="P537" t="s">
        <v>41</v>
      </c>
      <c r="Q537">
        <v>0</v>
      </c>
      <c r="R537" t="s">
        <v>50</v>
      </c>
      <c r="S537">
        <v>1954</v>
      </c>
      <c r="T537" t="s">
        <v>66</v>
      </c>
      <c r="U537" t="s">
        <v>211</v>
      </c>
      <c r="V537" t="s">
        <v>212</v>
      </c>
      <c r="W537" t="s">
        <v>213</v>
      </c>
      <c r="X537" t="s">
        <v>41</v>
      </c>
      <c r="Y537" t="s">
        <v>41</v>
      </c>
      <c r="Z537" t="s">
        <v>43</v>
      </c>
      <c r="AA537">
        <v>1972</v>
      </c>
      <c r="AB537" t="s">
        <v>1026</v>
      </c>
      <c r="AC537" t="s">
        <v>215</v>
      </c>
      <c r="AD537" t="s">
        <v>215</v>
      </c>
    </row>
    <row r="538" spans="1:30" x14ac:dyDescent="0.3">
      <c r="A538">
        <v>33046</v>
      </c>
      <c r="B538">
        <v>33046</v>
      </c>
      <c r="C538">
        <v>1</v>
      </c>
      <c r="D538" t="s">
        <v>1027</v>
      </c>
      <c r="E538" t="s">
        <v>1028</v>
      </c>
      <c r="F538" t="s">
        <v>1029</v>
      </c>
      <c r="G538" t="s">
        <v>1029</v>
      </c>
      <c r="H538" t="s">
        <v>39</v>
      </c>
      <c r="I538" t="s">
        <v>40</v>
      </c>
      <c r="J538" t="s">
        <v>41</v>
      </c>
      <c r="K538">
        <v>1</v>
      </c>
      <c r="L538">
        <v>0</v>
      </c>
      <c r="M538">
        <v>105.447591581466</v>
      </c>
      <c r="N538">
        <v>886.14999999999895</v>
      </c>
      <c r="O538">
        <v>777.34626131931702</v>
      </c>
      <c r="P538" t="s">
        <v>40</v>
      </c>
      <c r="Q538">
        <v>0</v>
      </c>
      <c r="R538" t="s">
        <v>50</v>
      </c>
      <c r="S538">
        <v>2000</v>
      </c>
      <c r="T538" t="s">
        <v>40</v>
      </c>
      <c r="U538" t="s">
        <v>40</v>
      </c>
      <c r="V538" t="s">
        <v>40</v>
      </c>
      <c r="W538" t="s">
        <v>40</v>
      </c>
      <c r="X538" t="s">
        <v>41</v>
      </c>
      <c r="Y538" t="s">
        <v>41</v>
      </c>
      <c r="Z538" t="s">
        <v>43</v>
      </c>
      <c r="AA538">
        <v>682</v>
      </c>
      <c r="AB538" t="s">
        <v>1030</v>
      </c>
      <c r="AC538" t="s">
        <v>740</v>
      </c>
      <c r="AD538" t="s">
        <v>740</v>
      </c>
    </row>
    <row r="539" spans="1:30" x14ac:dyDescent="0.3">
      <c r="A539">
        <v>342672</v>
      </c>
      <c r="B539">
        <v>342672</v>
      </c>
      <c r="C539">
        <v>1</v>
      </c>
      <c r="D539" t="s">
        <v>1031</v>
      </c>
      <c r="E539" t="s">
        <v>1032</v>
      </c>
      <c r="F539" t="s">
        <v>737</v>
      </c>
      <c r="G539" t="s">
        <v>738</v>
      </c>
      <c r="H539" t="s">
        <v>39</v>
      </c>
      <c r="I539" t="s">
        <v>40</v>
      </c>
      <c r="J539" t="s">
        <v>41</v>
      </c>
      <c r="K539">
        <v>0</v>
      </c>
      <c r="L539">
        <v>0</v>
      </c>
      <c r="M539">
        <v>0</v>
      </c>
      <c r="N539">
        <v>361.62</v>
      </c>
      <c r="O539">
        <v>358.48855310495202</v>
      </c>
      <c r="P539" t="s">
        <v>41</v>
      </c>
      <c r="Q539">
        <v>0</v>
      </c>
      <c r="R539" t="s">
        <v>50</v>
      </c>
      <c r="S539">
        <v>0</v>
      </c>
      <c r="T539" t="s">
        <v>40</v>
      </c>
      <c r="U539" t="s">
        <v>40</v>
      </c>
      <c r="V539" t="s">
        <v>40</v>
      </c>
      <c r="W539" t="s">
        <v>40</v>
      </c>
      <c r="X539" t="s">
        <v>41</v>
      </c>
      <c r="Y539" t="s">
        <v>41</v>
      </c>
      <c r="Z539" t="s">
        <v>43</v>
      </c>
      <c r="AA539">
        <v>682</v>
      </c>
      <c r="AB539" t="s">
        <v>1033</v>
      </c>
      <c r="AC539" t="s">
        <v>740</v>
      </c>
      <c r="AD539" t="s">
        <v>740</v>
      </c>
    </row>
    <row r="540" spans="1:30" x14ac:dyDescent="0.3">
      <c r="A540">
        <v>351088</v>
      </c>
      <c r="B540">
        <v>351088</v>
      </c>
      <c r="C540">
        <v>1</v>
      </c>
      <c r="D540" t="s">
        <v>1034</v>
      </c>
      <c r="E540" t="s">
        <v>1034</v>
      </c>
      <c r="F540" t="s">
        <v>123</v>
      </c>
      <c r="G540" t="s">
        <v>123</v>
      </c>
      <c r="H540" t="s">
        <v>39</v>
      </c>
      <c r="I540" t="s">
        <v>40</v>
      </c>
      <c r="J540" t="s">
        <v>41</v>
      </c>
      <c r="K540">
        <v>0</v>
      </c>
      <c r="L540">
        <v>0</v>
      </c>
      <c r="M540">
        <v>19.4761733121167</v>
      </c>
      <c r="N540">
        <v>1057.67</v>
      </c>
      <c r="O540">
        <v>1050.5548109009801</v>
      </c>
      <c r="P540" t="s">
        <v>41</v>
      </c>
      <c r="Q540">
        <v>0</v>
      </c>
      <c r="R540" t="s">
        <v>50</v>
      </c>
      <c r="S540">
        <v>2007</v>
      </c>
      <c r="T540" t="s">
        <v>40</v>
      </c>
      <c r="U540" t="s">
        <v>40</v>
      </c>
      <c r="V540" t="s">
        <v>40</v>
      </c>
      <c r="W540" t="s">
        <v>40</v>
      </c>
      <c r="X540" t="s">
        <v>41</v>
      </c>
      <c r="Y540" t="s">
        <v>41</v>
      </c>
      <c r="Z540" t="s">
        <v>43</v>
      </c>
      <c r="AA540">
        <v>682</v>
      </c>
      <c r="AB540" t="s">
        <v>1035</v>
      </c>
      <c r="AC540" t="s">
        <v>740</v>
      </c>
      <c r="AD540" t="s">
        <v>740</v>
      </c>
    </row>
    <row r="541" spans="1:30" x14ac:dyDescent="0.3">
      <c r="A541">
        <v>555626105</v>
      </c>
      <c r="B541">
        <v>555626105</v>
      </c>
      <c r="C541">
        <v>1</v>
      </c>
      <c r="D541" t="s">
        <v>1036</v>
      </c>
      <c r="E541" t="s">
        <v>1037</v>
      </c>
      <c r="F541" t="s">
        <v>116</v>
      </c>
      <c r="G541" t="s">
        <v>116</v>
      </c>
      <c r="H541" t="s">
        <v>82</v>
      </c>
      <c r="I541" t="s">
        <v>40</v>
      </c>
      <c r="J541" t="s">
        <v>1038</v>
      </c>
      <c r="K541">
        <v>1</v>
      </c>
      <c r="L541">
        <v>0</v>
      </c>
      <c r="M541">
        <v>171.865980791168</v>
      </c>
      <c r="N541">
        <v>886.14999999999895</v>
      </c>
      <c r="O541">
        <v>844.93081534490705</v>
      </c>
      <c r="P541" t="s">
        <v>40</v>
      </c>
      <c r="Q541">
        <v>0</v>
      </c>
      <c r="R541" t="s">
        <v>50</v>
      </c>
      <c r="S541">
        <v>2000</v>
      </c>
      <c r="T541" t="s">
        <v>40</v>
      </c>
      <c r="U541" t="s">
        <v>40</v>
      </c>
      <c r="V541" t="s">
        <v>40</v>
      </c>
      <c r="W541" t="s">
        <v>1039</v>
      </c>
      <c r="X541" t="s">
        <v>41</v>
      </c>
      <c r="Y541" t="s">
        <v>41</v>
      </c>
      <c r="Z541" t="s">
        <v>43</v>
      </c>
      <c r="AA541">
        <v>1856</v>
      </c>
      <c r="AB541" t="s">
        <v>1030</v>
      </c>
      <c r="AC541" t="s">
        <v>740</v>
      </c>
      <c r="AD541" t="s">
        <v>740</v>
      </c>
    </row>
    <row r="542" spans="1:30" x14ac:dyDescent="0.3">
      <c r="A542">
        <v>555626099</v>
      </c>
      <c r="B542">
        <v>555626099</v>
      </c>
      <c r="C542">
        <v>1</v>
      </c>
      <c r="D542" t="s">
        <v>1040</v>
      </c>
      <c r="E542" t="s">
        <v>1040</v>
      </c>
      <c r="F542" t="s">
        <v>353</v>
      </c>
      <c r="G542" t="s">
        <v>116</v>
      </c>
      <c r="H542" t="s">
        <v>82</v>
      </c>
      <c r="I542" t="s">
        <v>40</v>
      </c>
      <c r="J542" t="s">
        <v>1041</v>
      </c>
      <c r="K542">
        <v>0</v>
      </c>
      <c r="L542">
        <v>0</v>
      </c>
      <c r="M542">
        <v>0</v>
      </c>
      <c r="N542">
        <v>9701.65829999999</v>
      </c>
      <c r="O542">
        <v>9701.6583193814204</v>
      </c>
      <c r="P542" t="s">
        <v>41</v>
      </c>
      <c r="Q542">
        <v>0</v>
      </c>
      <c r="R542" t="s">
        <v>50</v>
      </c>
      <c r="S542">
        <v>2015</v>
      </c>
      <c r="T542" t="s">
        <v>40</v>
      </c>
      <c r="U542" t="s">
        <v>40</v>
      </c>
      <c r="V542" t="s">
        <v>40</v>
      </c>
      <c r="W542" t="s">
        <v>1042</v>
      </c>
      <c r="X542" t="s">
        <v>41</v>
      </c>
      <c r="Y542" t="s">
        <v>41</v>
      </c>
      <c r="Z542" t="s">
        <v>43</v>
      </c>
      <c r="AA542">
        <v>1856</v>
      </c>
      <c r="AB542" t="s">
        <v>40</v>
      </c>
      <c r="AC542" t="s">
        <v>1043</v>
      </c>
      <c r="AD542" t="s">
        <v>1043</v>
      </c>
    </row>
    <row r="543" spans="1:30" x14ac:dyDescent="0.3">
      <c r="A543">
        <v>7425</v>
      </c>
      <c r="B543">
        <v>7425</v>
      </c>
      <c r="C543">
        <v>1</v>
      </c>
      <c r="D543" t="s">
        <v>1044</v>
      </c>
      <c r="E543" t="s">
        <v>1044</v>
      </c>
      <c r="F543" t="s">
        <v>366</v>
      </c>
      <c r="G543" t="s">
        <v>81</v>
      </c>
      <c r="H543" t="s">
        <v>82</v>
      </c>
      <c r="I543" t="s">
        <v>41</v>
      </c>
      <c r="J543" t="s">
        <v>41</v>
      </c>
      <c r="K543">
        <v>0</v>
      </c>
      <c r="L543">
        <v>0</v>
      </c>
      <c r="M543">
        <v>0</v>
      </c>
      <c r="N543">
        <v>1100</v>
      </c>
      <c r="O543">
        <v>13762.058324191599</v>
      </c>
      <c r="P543" t="s">
        <v>41</v>
      </c>
      <c r="Q543">
        <v>0</v>
      </c>
      <c r="R543" t="s">
        <v>50</v>
      </c>
      <c r="S543">
        <v>1977</v>
      </c>
      <c r="T543" t="s">
        <v>40</v>
      </c>
      <c r="U543" t="s">
        <v>40</v>
      </c>
      <c r="V543" t="s">
        <v>40</v>
      </c>
      <c r="W543" t="s">
        <v>40</v>
      </c>
      <c r="X543" t="s">
        <v>41</v>
      </c>
      <c r="Y543" t="s">
        <v>41</v>
      </c>
      <c r="Z543" t="s">
        <v>43</v>
      </c>
      <c r="AA543">
        <v>1958</v>
      </c>
      <c r="AB543" t="s">
        <v>1045</v>
      </c>
      <c r="AC543" t="s">
        <v>1043</v>
      </c>
      <c r="AD543" t="s">
        <v>1043</v>
      </c>
    </row>
    <row r="544" spans="1:30" x14ac:dyDescent="0.3">
      <c r="A544">
        <v>13694</v>
      </c>
      <c r="B544">
        <v>13694</v>
      </c>
      <c r="C544">
        <v>1</v>
      </c>
      <c r="D544" t="s">
        <v>1046</v>
      </c>
      <c r="E544" t="s">
        <v>1047</v>
      </c>
      <c r="F544" t="s">
        <v>366</v>
      </c>
      <c r="G544" t="s">
        <v>81</v>
      </c>
      <c r="H544" t="s">
        <v>82</v>
      </c>
      <c r="I544" t="s">
        <v>41</v>
      </c>
      <c r="J544" t="s">
        <v>41</v>
      </c>
      <c r="K544">
        <v>0</v>
      </c>
      <c r="L544">
        <v>0</v>
      </c>
      <c r="M544">
        <v>0</v>
      </c>
      <c r="N544">
        <v>1360</v>
      </c>
      <c r="O544">
        <v>1333.07088930543</v>
      </c>
      <c r="P544" t="s">
        <v>41</v>
      </c>
      <c r="Q544">
        <v>0</v>
      </c>
      <c r="R544" t="s">
        <v>50</v>
      </c>
      <c r="S544">
        <v>1988</v>
      </c>
      <c r="T544" t="s">
        <v>66</v>
      </c>
      <c r="U544" t="s">
        <v>51</v>
      </c>
      <c r="V544" t="s">
        <v>1048</v>
      </c>
      <c r="W544" t="s">
        <v>68</v>
      </c>
      <c r="X544" t="s">
        <v>41</v>
      </c>
      <c r="Y544" t="s">
        <v>41</v>
      </c>
      <c r="Z544" t="s">
        <v>43</v>
      </c>
      <c r="AA544">
        <v>1958</v>
      </c>
      <c r="AB544" t="s">
        <v>1049</v>
      </c>
      <c r="AC544" t="s">
        <v>1043</v>
      </c>
      <c r="AD544" t="s">
        <v>1043</v>
      </c>
    </row>
    <row r="545" spans="1:30" x14ac:dyDescent="0.3">
      <c r="A545">
        <v>2270</v>
      </c>
      <c r="B545">
        <v>2270</v>
      </c>
      <c r="C545">
        <v>1</v>
      </c>
      <c r="D545" t="s">
        <v>1050</v>
      </c>
      <c r="E545" t="s">
        <v>1050</v>
      </c>
      <c r="F545" t="s">
        <v>171</v>
      </c>
      <c r="G545" t="s">
        <v>381</v>
      </c>
      <c r="H545" t="s">
        <v>39</v>
      </c>
      <c r="I545" t="s">
        <v>74</v>
      </c>
      <c r="J545" t="s">
        <v>41</v>
      </c>
      <c r="K545">
        <v>0</v>
      </c>
      <c r="L545">
        <v>0</v>
      </c>
      <c r="M545">
        <v>0</v>
      </c>
      <c r="N545">
        <v>300</v>
      </c>
      <c r="O545">
        <v>288.19473769444897</v>
      </c>
      <c r="P545" t="s">
        <v>41</v>
      </c>
      <c r="Q545">
        <v>0</v>
      </c>
      <c r="R545" t="s">
        <v>50</v>
      </c>
      <c r="S545">
        <v>1963</v>
      </c>
      <c r="T545" t="s">
        <v>66</v>
      </c>
      <c r="U545" t="s">
        <v>40</v>
      </c>
      <c r="V545" t="s">
        <v>1048</v>
      </c>
      <c r="W545" t="s">
        <v>68</v>
      </c>
      <c r="X545" t="s">
        <v>41</v>
      </c>
      <c r="Y545" t="s">
        <v>41</v>
      </c>
      <c r="Z545" t="s">
        <v>43</v>
      </c>
      <c r="AA545">
        <v>1958</v>
      </c>
      <c r="AB545" t="s">
        <v>1051</v>
      </c>
      <c r="AC545" t="s">
        <v>1043</v>
      </c>
      <c r="AD545" t="s">
        <v>1043</v>
      </c>
    </row>
    <row r="546" spans="1:30" x14ac:dyDescent="0.3">
      <c r="A546">
        <v>643</v>
      </c>
      <c r="B546">
        <v>643</v>
      </c>
      <c r="C546">
        <v>1</v>
      </c>
      <c r="D546" t="s">
        <v>1052</v>
      </c>
      <c r="E546" t="s">
        <v>1052</v>
      </c>
      <c r="F546" t="s">
        <v>158</v>
      </c>
      <c r="G546" t="s">
        <v>123</v>
      </c>
      <c r="H546" t="s">
        <v>39</v>
      </c>
      <c r="I546" t="s">
        <v>124</v>
      </c>
      <c r="J546" t="s">
        <v>41</v>
      </c>
      <c r="K546">
        <v>0</v>
      </c>
      <c r="L546">
        <v>0</v>
      </c>
      <c r="M546">
        <v>0</v>
      </c>
      <c r="N546">
        <v>13546</v>
      </c>
      <c r="O546">
        <v>13603.5505605403</v>
      </c>
      <c r="P546" t="s">
        <v>41</v>
      </c>
      <c r="Q546">
        <v>0</v>
      </c>
      <c r="R546" t="s">
        <v>50</v>
      </c>
      <c r="S546">
        <v>1935</v>
      </c>
      <c r="T546" t="s">
        <v>282</v>
      </c>
      <c r="U546" t="s">
        <v>51</v>
      </c>
      <c r="V546" t="s">
        <v>1053</v>
      </c>
      <c r="W546" t="s">
        <v>359</v>
      </c>
      <c r="X546" t="s">
        <v>41</v>
      </c>
      <c r="Y546" t="s">
        <v>41</v>
      </c>
      <c r="Z546" t="s">
        <v>43</v>
      </c>
      <c r="AA546">
        <v>1958</v>
      </c>
      <c r="AB546" t="s">
        <v>1045</v>
      </c>
      <c r="AC546" t="s">
        <v>1043</v>
      </c>
      <c r="AD546" t="s">
        <v>1043</v>
      </c>
    </row>
    <row r="547" spans="1:30" x14ac:dyDescent="0.3">
      <c r="A547">
        <v>2266</v>
      </c>
      <c r="B547">
        <v>2266</v>
      </c>
      <c r="C547">
        <v>1</v>
      </c>
      <c r="D547" t="s">
        <v>1054</v>
      </c>
      <c r="E547" t="s">
        <v>1054</v>
      </c>
      <c r="F547" t="s">
        <v>171</v>
      </c>
      <c r="G547" t="s">
        <v>381</v>
      </c>
      <c r="H547" t="s">
        <v>39</v>
      </c>
      <c r="I547" t="s">
        <v>74</v>
      </c>
      <c r="J547" t="s">
        <v>41</v>
      </c>
      <c r="K547">
        <v>0</v>
      </c>
      <c r="L547">
        <v>0</v>
      </c>
      <c r="M547">
        <v>0</v>
      </c>
      <c r="N547">
        <v>5010</v>
      </c>
      <c r="O547">
        <v>3497.7956213521202</v>
      </c>
      <c r="P547" t="s">
        <v>41</v>
      </c>
      <c r="Q547">
        <v>0</v>
      </c>
      <c r="R547" t="s">
        <v>50</v>
      </c>
      <c r="S547">
        <v>1951</v>
      </c>
      <c r="T547" t="s">
        <v>66</v>
      </c>
      <c r="U547" t="s">
        <v>51</v>
      </c>
      <c r="V547" t="s">
        <v>1048</v>
      </c>
      <c r="W547" t="s">
        <v>68</v>
      </c>
      <c r="X547" t="s">
        <v>41</v>
      </c>
      <c r="Y547" t="s">
        <v>41</v>
      </c>
      <c r="Z547" t="s">
        <v>43</v>
      </c>
      <c r="AA547">
        <v>1958</v>
      </c>
      <c r="AB547" t="s">
        <v>1055</v>
      </c>
      <c r="AC547" t="s">
        <v>1043</v>
      </c>
      <c r="AD547" t="s">
        <v>1043</v>
      </c>
    </row>
    <row r="548" spans="1:30" x14ac:dyDescent="0.3">
      <c r="A548">
        <v>555571316</v>
      </c>
      <c r="B548">
        <v>555571316</v>
      </c>
      <c r="C548">
        <v>1</v>
      </c>
      <c r="D548" t="s">
        <v>1056</v>
      </c>
      <c r="E548" t="s">
        <v>1056</v>
      </c>
      <c r="F548" t="s">
        <v>664</v>
      </c>
      <c r="G548" t="s">
        <v>665</v>
      </c>
      <c r="H548" t="s">
        <v>39</v>
      </c>
      <c r="I548" t="s">
        <v>40</v>
      </c>
      <c r="J548" t="s">
        <v>41</v>
      </c>
      <c r="K548">
        <v>0</v>
      </c>
      <c r="L548">
        <v>0</v>
      </c>
      <c r="M548">
        <v>0</v>
      </c>
      <c r="N548">
        <v>229.05</v>
      </c>
      <c r="O548">
        <v>228.702452292472</v>
      </c>
      <c r="P548" t="s">
        <v>41</v>
      </c>
      <c r="Q548">
        <v>0</v>
      </c>
      <c r="R548" t="s">
        <v>50</v>
      </c>
      <c r="S548">
        <v>1956</v>
      </c>
      <c r="T548" t="s">
        <v>66</v>
      </c>
      <c r="U548" t="s">
        <v>51</v>
      </c>
      <c r="V548" t="s">
        <v>1048</v>
      </c>
      <c r="W548" t="s">
        <v>68</v>
      </c>
      <c r="X548" t="s">
        <v>41</v>
      </c>
      <c r="Y548" t="s">
        <v>41</v>
      </c>
      <c r="Z548" t="s">
        <v>43</v>
      </c>
      <c r="AA548">
        <v>1958</v>
      </c>
      <c r="AB548" t="s">
        <v>40</v>
      </c>
      <c r="AC548" t="s">
        <v>1043</v>
      </c>
      <c r="AD548" t="s">
        <v>1043</v>
      </c>
    </row>
    <row r="549" spans="1:30" x14ac:dyDescent="0.3">
      <c r="A549">
        <v>99862</v>
      </c>
      <c r="B549">
        <v>99862</v>
      </c>
      <c r="C549">
        <v>1</v>
      </c>
      <c r="D549" t="s">
        <v>1057</v>
      </c>
      <c r="E549" t="s">
        <v>1057</v>
      </c>
      <c r="F549" t="s">
        <v>1058</v>
      </c>
      <c r="G549" t="s">
        <v>688</v>
      </c>
      <c r="H549" t="s">
        <v>39</v>
      </c>
      <c r="I549" t="s">
        <v>74</v>
      </c>
      <c r="J549" t="s">
        <v>41</v>
      </c>
      <c r="K549">
        <v>0</v>
      </c>
      <c r="L549">
        <v>0</v>
      </c>
      <c r="M549">
        <v>0</v>
      </c>
      <c r="N549">
        <v>1730</v>
      </c>
      <c r="O549">
        <v>1741.35752019713</v>
      </c>
      <c r="P549" t="s">
        <v>41</v>
      </c>
      <c r="Q549">
        <v>0</v>
      </c>
      <c r="R549" t="s">
        <v>50</v>
      </c>
      <c r="S549">
        <v>2009</v>
      </c>
      <c r="T549" t="s">
        <v>66</v>
      </c>
      <c r="U549" t="s">
        <v>51</v>
      </c>
      <c r="V549" t="s">
        <v>1048</v>
      </c>
      <c r="W549" t="s">
        <v>1059</v>
      </c>
      <c r="X549" t="s">
        <v>41</v>
      </c>
      <c r="Y549" t="s">
        <v>41</v>
      </c>
      <c r="Z549" t="s">
        <v>43</v>
      </c>
      <c r="AA549">
        <v>1958</v>
      </c>
      <c r="AB549" t="s">
        <v>1060</v>
      </c>
      <c r="AC549" t="s">
        <v>1043</v>
      </c>
      <c r="AD549" t="s">
        <v>1043</v>
      </c>
    </row>
    <row r="550" spans="1:30" x14ac:dyDescent="0.3">
      <c r="A550">
        <v>555571317</v>
      </c>
      <c r="B550">
        <v>555571317</v>
      </c>
      <c r="C550">
        <v>1</v>
      </c>
      <c r="D550" t="s">
        <v>1061</v>
      </c>
      <c r="E550" t="s">
        <v>1061</v>
      </c>
      <c r="F550" t="s">
        <v>171</v>
      </c>
      <c r="G550" t="s">
        <v>381</v>
      </c>
      <c r="H550" t="s">
        <v>39</v>
      </c>
      <c r="I550" t="s">
        <v>74</v>
      </c>
      <c r="J550" t="s">
        <v>41</v>
      </c>
      <c r="K550">
        <v>0</v>
      </c>
      <c r="L550">
        <v>0</v>
      </c>
      <c r="M550">
        <v>0</v>
      </c>
      <c r="N550">
        <v>88.2</v>
      </c>
      <c r="O550">
        <v>88.0682025477049</v>
      </c>
      <c r="P550" t="s">
        <v>41</v>
      </c>
      <c r="Q550">
        <v>0</v>
      </c>
      <c r="R550" t="s">
        <v>50</v>
      </c>
      <c r="S550">
        <v>1958</v>
      </c>
      <c r="T550" t="s">
        <v>66</v>
      </c>
      <c r="U550" t="s">
        <v>51</v>
      </c>
      <c r="V550" t="s">
        <v>1048</v>
      </c>
      <c r="W550" t="s">
        <v>68</v>
      </c>
      <c r="X550" t="s">
        <v>41</v>
      </c>
      <c r="Y550" t="s">
        <v>41</v>
      </c>
      <c r="Z550" t="s">
        <v>43</v>
      </c>
      <c r="AA550">
        <v>1958</v>
      </c>
      <c r="AB550" t="s">
        <v>40</v>
      </c>
      <c r="AC550" t="s">
        <v>1043</v>
      </c>
      <c r="AD550" t="s">
        <v>1043</v>
      </c>
    </row>
    <row r="551" spans="1:30" x14ac:dyDescent="0.3">
      <c r="A551">
        <v>555571318</v>
      </c>
      <c r="B551">
        <v>555571318</v>
      </c>
      <c r="C551">
        <v>1</v>
      </c>
      <c r="D551" t="s">
        <v>1062</v>
      </c>
      <c r="E551" t="s">
        <v>1062</v>
      </c>
      <c r="F551" t="s">
        <v>664</v>
      </c>
      <c r="G551" t="s">
        <v>665</v>
      </c>
      <c r="H551" t="s">
        <v>39</v>
      </c>
      <c r="I551" t="s">
        <v>40</v>
      </c>
      <c r="J551" t="s">
        <v>41</v>
      </c>
      <c r="K551">
        <v>0</v>
      </c>
      <c r="L551">
        <v>0</v>
      </c>
      <c r="M551">
        <v>0</v>
      </c>
      <c r="N551">
        <v>230</v>
      </c>
      <c r="O551">
        <v>208.94072088905</v>
      </c>
      <c r="P551" t="s">
        <v>41</v>
      </c>
      <c r="Q551">
        <v>0</v>
      </c>
      <c r="R551" t="s">
        <v>50</v>
      </c>
      <c r="S551">
        <v>1956</v>
      </c>
      <c r="T551" t="s">
        <v>66</v>
      </c>
      <c r="U551" t="s">
        <v>51</v>
      </c>
      <c r="V551" t="s">
        <v>1048</v>
      </c>
      <c r="W551" t="s">
        <v>68</v>
      </c>
      <c r="X551" t="s">
        <v>41</v>
      </c>
      <c r="Y551" t="s">
        <v>41</v>
      </c>
      <c r="Z551" t="s">
        <v>43</v>
      </c>
      <c r="AA551">
        <v>1958</v>
      </c>
      <c r="AB551" t="s">
        <v>40</v>
      </c>
      <c r="AC551" t="s">
        <v>1043</v>
      </c>
      <c r="AD551" t="s">
        <v>1043</v>
      </c>
    </row>
    <row r="552" spans="1:30" x14ac:dyDescent="0.3">
      <c r="A552">
        <v>354009</v>
      </c>
      <c r="B552">
        <v>354009</v>
      </c>
      <c r="C552">
        <v>1</v>
      </c>
      <c r="D552" t="s">
        <v>1063</v>
      </c>
      <c r="E552" t="s">
        <v>1063</v>
      </c>
      <c r="F552" t="s">
        <v>1064</v>
      </c>
      <c r="G552" t="s">
        <v>102</v>
      </c>
      <c r="H552" t="s">
        <v>39</v>
      </c>
      <c r="I552" t="s">
        <v>40</v>
      </c>
      <c r="J552" t="s">
        <v>41</v>
      </c>
      <c r="K552">
        <v>0</v>
      </c>
      <c r="L552">
        <v>0</v>
      </c>
      <c r="M552">
        <v>0</v>
      </c>
      <c r="N552">
        <v>2.4</v>
      </c>
      <c r="O552">
        <v>0.83238371352002705</v>
      </c>
      <c r="P552" t="s">
        <v>41</v>
      </c>
      <c r="Q552">
        <v>0</v>
      </c>
      <c r="R552" t="s">
        <v>50</v>
      </c>
      <c r="S552">
        <v>1938</v>
      </c>
      <c r="T552" t="s">
        <v>66</v>
      </c>
      <c r="U552" t="s">
        <v>51</v>
      </c>
      <c r="V552" t="s">
        <v>1048</v>
      </c>
      <c r="W552" t="s">
        <v>68</v>
      </c>
      <c r="X552" t="s">
        <v>41</v>
      </c>
      <c r="Y552" t="s">
        <v>41</v>
      </c>
      <c r="Z552" t="s">
        <v>43</v>
      </c>
      <c r="AA552">
        <v>1958</v>
      </c>
      <c r="AB552" t="s">
        <v>1060</v>
      </c>
      <c r="AC552" t="s">
        <v>1043</v>
      </c>
      <c r="AD552" t="s">
        <v>1043</v>
      </c>
    </row>
    <row r="553" spans="1:30" x14ac:dyDescent="0.3">
      <c r="A553">
        <v>555571319</v>
      </c>
      <c r="B553">
        <v>555571319</v>
      </c>
      <c r="C553">
        <v>1</v>
      </c>
      <c r="D553" t="s">
        <v>1065</v>
      </c>
      <c r="E553" t="s">
        <v>1065</v>
      </c>
      <c r="F553" t="s">
        <v>171</v>
      </c>
      <c r="G553" t="s">
        <v>381</v>
      </c>
      <c r="H553" t="s">
        <v>39</v>
      </c>
      <c r="I553" t="s">
        <v>74</v>
      </c>
      <c r="J553" t="s">
        <v>41</v>
      </c>
      <c r="K553">
        <v>0</v>
      </c>
      <c r="L553">
        <v>0</v>
      </c>
      <c r="M553">
        <v>0</v>
      </c>
      <c r="N553">
        <v>156</v>
      </c>
      <c r="O553">
        <v>287.52814897172601</v>
      </c>
      <c r="P553" t="s">
        <v>41</v>
      </c>
      <c r="Q553">
        <v>0</v>
      </c>
      <c r="R553" t="s">
        <v>50</v>
      </c>
      <c r="S553">
        <v>1958</v>
      </c>
      <c r="T553" t="s">
        <v>66</v>
      </c>
      <c r="U553" t="s">
        <v>51</v>
      </c>
      <c r="V553" t="s">
        <v>1048</v>
      </c>
      <c r="W553" t="s">
        <v>68</v>
      </c>
      <c r="X553" t="s">
        <v>41</v>
      </c>
      <c r="Y553" t="s">
        <v>41</v>
      </c>
      <c r="Z553" t="s">
        <v>43</v>
      </c>
      <c r="AA553">
        <v>1958</v>
      </c>
      <c r="AB553" t="s">
        <v>40</v>
      </c>
      <c r="AC553" t="s">
        <v>1043</v>
      </c>
      <c r="AD553" t="s">
        <v>1043</v>
      </c>
    </row>
    <row r="554" spans="1:30" x14ac:dyDescent="0.3">
      <c r="A554">
        <v>555571320</v>
      </c>
      <c r="B554">
        <v>555571320</v>
      </c>
      <c r="C554">
        <v>1</v>
      </c>
      <c r="D554" t="s">
        <v>1054</v>
      </c>
      <c r="E554" t="s">
        <v>1054</v>
      </c>
      <c r="F554" t="s">
        <v>1066</v>
      </c>
      <c r="G554" t="s">
        <v>1067</v>
      </c>
      <c r="H554" t="s">
        <v>39</v>
      </c>
      <c r="I554" t="s">
        <v>40</v>
      </c>
      <c r="J554" t="s">
        <v>41</v>
      </c>
      <c r="K554">
        <v>0</v>
      </c>
      <c r="L554">
        <v>0</v>
      </c>
      <c r="M554">
        <v>0</v>
      </c>
      <c r="N554">
        <v>1800</v>
      </c>
      <c r="O554">
        <v>1782.3485023816199</v>
      </c>
      <c r="P554" t="s">
        <v>41</v>
      </c>
      <c r="Q554">
        <v>0</v>
      </c>
      <c r="R554" t="s">
        <v>50</v>
      </c>
      <c r="S554">
        <v>1963</v>
      </c>
      <c r="T554" t="s">
        <v>66</v>
      </c>
      <c r="U554" t="s">
        <v>51</v>
      </c>
      <c r="V554" t="s">
        <v>1048</v>
      </c>
      <c r="W554" t="s">
        <v>68</v>
      </c>
      <c r="X554" t="s">
        <v>41</v>
      </c>
      <c r="Y554" t="s">
        <v>41</v>
      </c>
      <c r="Z554" t="s">
        <v>43</v>
      </c>
      <c r="AA554">
        <v>1958</v>
      </c>
      <c r="AB554" t="s">
        <v>40</v>
      </c>
      <c r="AC554" t="s">
        <v>1043</v>
      </c>
      <c r="AD554" t="s">
        <v>1043</v>
      </c>
    </row>
    <row r="555" spans="1:30" x14ac:dyDescent="0.3">
      <c r="A555">
        <v>109019</v>
      </c>
      <c r="B555">
        <v>109019</v>
      </c>
      <c r="C555">
        <v>1</v>
      </c>
      <c r="D555" t="s">
        <v>1068</v>
      </c>
      <c r="E555" t="s">
        <v>1068</v>
      </c>
      <c r="F555" t="s">
        <v>353</v>
      </c>
      <c r="G555" t="s">
        <v>116</v>
      </c>
      <c r="H555" t="s">
        <v>82</v>
      </c>
      <c r="I555" t="s">
        <v>40</v>
      </c>
      <c r="J555" t="s">
        <v>1041</v>
      </c>
      <c r="K555">
        <v>0</v>
      </c>
      <c r="L555">
        <v>0</v>
      </c>
      <c r="M555">
        <v>0</v>
      </c>
      <c r="N555">
        <v>59080.739999999903</v>
      </c>
      <c r="O555">
        <v>56023.453949884897</v>
      </c>
      <c r="P555" t="s">
        <v>41</v>
      </c>
      <c r="Q555">
        <v>0</v>
      </c>
      <c r="R555" t="s">
        <v>50</v>
      </c>
      <c r="S555">
        <v>2007</v>
      </c>
      <c r="T555" t="s">
        <v>40</v>
      </c>
      <c r="U555" t="s">
        <v>40</v>
      </c>
      <c r="V555" t="s">
        <v>40</v>
      </c>
      <c r="W555" t="s">
        <v>1069</v>
      </c>
      <c r="X555" t="s">
        <v>41</v>
      </c>
      <c r="Y555" t="s">
        <v>41</v>
      </c>
      <c r="Z555" t="s">
        <v>43</v>
      </c>
      <c r="AA555">
        <v>1856</v>
      </c>
      <c r="AB555" t="s">
        <v>1070</v>
      </c>
      <c r="AC555" t="s">
        <v>1043</v>
      </c>
      <c r="AD555" t="s">
        <v>1043</v>
      </c>
    </row>
    <row r="556" spans="1:30" x14ac:dyDescent="0.3">
      <c r="A556">
        <v>478032</v>
      </c>
      <c r="B556">
        <v>478032</v>
      </c>
      <c r="C556">
        <v>1</v>
      </c>
      <c r="D556" t="s">
        <v>1071</v>
      </c>
      <c r="E556" t="s">
        <v>1071</v>
      </c>
      <c r="F556" t="s">
        <v>353</v>
      </c>
      <c r="G556" t="s">
        <v>116</v>
      </c>
      <c r="H556" t="s">
        <v>82</v>
      </c>
      <c r="I556" t="s">
        <v>40</v>
      </c>
      <c r="J556" t="s">
        <v>1072</v>
      </c>
      <c r="K556">
        <v>0</v>
      </c>
      <c r="L556">
        <v>0</v>
      </c>
      <c r="M556">
        <v>0</v>
      </c>
      <c r="N556">
        <v>25</v>
      </c>
      <c r="O556">
        <v>54.905945812822502</v>
      </c>
      <c r="P556" t="s">
        <v>41</v>
      </c>
      <c r="Q556">
        <v>0</v>
      </c>
      <c r="R556" t="s">
        <v>50</v>
      </c>
      <c r="S556">
        <v>2009</v>
      </c>
      <c r="T556" t="s">
        <v>40</v>
      </c>
      <c r="U556" t="s">
        <v>40</v>
      </c>
      <c r="V556" t="s">
        <v>40</v>
      </c>
      <c r="W556" t="s">
        <v>1073</v>
      </c>
      <c r="X556" t="s">
        <v>41</v>
      </c>
      <c r="Y556" t="s">
        <v>41</v>
      </c>
      <c r="Z556" t="s">
        <v>43</v>
      </c>
      <c r="AA556">
        <v>1856</v>
      </c>
      <c r="AB556" t="s">
        <v>1074</v>
      </c>
      <c r="AC556" t="s">
        <v>1043</v>
      </c>
      <c r="AD556" t="s">
        <v>1043</v>
      </c>
    </row>
    <row r="557" spans="1:30" x14ac:dyDescent="0.3">
      <c r="A557">
        <v>478033</v>
      </c>
      <c r="B557">
        <v>478033</v>
      </c>
      <c r="C557">
        <v>1</v>
      </c>
      <c r="D557" t="s">
        <v>1075</v>
      </c>
      <c r="E557" t="s">
        <v>1075</v>
      </c>
      <c r="F557" t="s">
        <v>353</v>
      </c>
      <c r="G557" t="s">
        <v>116</v>
      </c>
      <c r="H557" t="s">
        <v>82</v>
      </c>
      <c r="I557" t="s">
        <v>40</v>
      </c>
      <c r="J557" t="s">
        <v>1041</v>
      </c>
      <c r="K557">
        <v>0</v>
      </c>
      <c r="L557">
        <v>0</v>
      </c>
      <c r="M557">
        <v>0</v>
      </c>
      <c r="N557">
        <v>15250</v>
      </c>
      <c r="O557">
        <v>13675.5102058307</v>
      </c>
      <c r="P557" t="s">
        <v>41</v>
      </c>
      <c r="Q557">
        <v>0</v>
      </c>
      <c r="R557" t="s">
        <v>50</v>
      </c>
      <c r="S557">
        <v>2009</v>
      </c>
      <c r="T557" t="s">
        <v>40</v>
      </c>
      <c r="U557" t="s">
        <v>40</v>
      </c>
      <c r="V557" t="s">
        <v>40</v>
      </c>
      <c r="W557" t="s">
        <v>1076</v>
      </c>
      <c r="X557" t="s">
        <v>41</v>
      </c>
      <c r="Y557" t="s">
        <v>41</v>
      </c>
      <c r="Z557" t="s">
        <v>43</v>
      </c>
      <c r="AA557">
        <v>1856</v>
      </c>
      <c r="AB557" t="s">
        <v>1077</v>
      </c>
      <c r="AC557" t="s">
        <v>1043</v>
      </c>
      <c r="AD557" t="s">
        <v>1043</v>
      </c>
    </row>
    <row r="558" spans="1:30" x14ac:dyDescent="0.3">
      <c r="A558">
        <v>555555585</v>
      </c>
      <c r="B558">
        <v>555555585</v>
      </c>
      <c r="C558">
        <v>1</v>
      </c>
      <c r="D558" t="s">
        <v>1052</v>
      </c>
      <c r="E558" t="s">
        <v>1052</v>
      </c>
      <c r="F558" t="s">
        <v>353</v>
      </c>
      <c r="G558" t="s">
        <v>116</v>
      </c>
      <c r="H558" t="s">
        <v>82</v>
      </c>
      <c r="I558" t="s">
        <v>40</v>
      </c>
      <c r="J558" t="s">
        <v>1041</v>
      </c>
      <c r="K558">
        <v>0</v>
      </c>
      <c r="L558">
        <v>0</v>
      </c>
      <c r="M558">
        <v>0</v>
      </c>
      <c r="N558">
        <v>13000</v>
      </c>
      <c r="O558">
        <v>13604.944890569601</v>
      </c>
      <c r="P558" t="s">
        <v>41</v>
      </c>
      <c r="Q558">
        <v>0</v>
      </c>
      <c r="R558" t="s">
        <v>50</v>
      </c>
      <c r="S558">
        <v>2012</v>
      </c>
      <c r="T558" t="s">
        <v>40</v>
      </c>
      <c r="U558" t="s">
        <v>40</v>
      </c>
      <c r="V558" t="s">
        <v>40</v>
      </c>
      <c r="W558" t="s">
        <v>1078</v>
      </c>
      <c r="X558" t="s">
        <v>41</v>
      </c>
      <c r="Y558" t="s">
        <v>41</v>
      </c>
      <c r="Z558" t="s">
        <v>43</v>
      </c>
      <c r="AA558">
        <v>1856</v>
      </c>
      <c r="AB558" t="s">
        <v>40</v>
      </c>
      <c r="AC558" t="s">
        <v>1043</v>
      </c>
      <c r="AD558" t="s">
        <v>1043</v>
      </c>
    </row>
    <row r="559" spans="1:30" x14ac:dyDescent="0.3">
      <c r="A559">
        <v>555555586</v>
      </c>
      <c r="B559">
        <v>555555586</v>
      </c>
      <c r="C559">
        <v>1</v>
      </c>
      <c r="D559" t="s">
        <v>1079</v>
      </c>
      <c r="E559" t="s">
        <v>1079</v>
      </c>
      <c r="F559" t="s">
        <v>353</v>
      </c>
      <c r="G559" t="s">
        <v>116</v>
      </c>
      <c r="H559" t="s">
        <v>82</v>
      </c>
      <c r="I559" t="s">
        <v>40</v>
      </c>
      <c r="J559" t="s">
        <v>1041</v>
      </c>
      <c r="K559">
        <v>0</v>
      </c>
      <c r="L559">
        <v>0</v>
      </c>
      <c r="M559">
        <v>0</v>
      </c>
      <c r="N559">
        <v>15810</v>
      </c>
      <c r="O559">
        <v>598.71732323195897</v>
      </c>
      <c r="P559" t="s">
        <v>41</v>
      </c>
      <c r="Q559">
        <v>0</v>
      </c>
      <c r="R559" t="s">
        <v>50</v>
      </c>
      <c r="S559">
        <v>2012</v>
      </c>
      <c r="T559" t="s">
        <v>40</v>
      </c>
      <c r="U559" t="s">
        <v>40</v>
      </c>
      <c r="V559" t="s">
        <v>40</v>
      </c>
      <c r="W559" t="s">
        <v>1080</v>
      </c>
      <c r="X559" t="s">
        <v>41</v>
      </c>
      <c r="Y559" t="s">
        <v>41</v>
      </c>
      <c r="Z559" t="s">
        <v>43</v>
      </c>
      <c r="AA559">
        <v>1856</v>
      </c>
      <c r="AB559" t="s">
        <v>40</v>
      </c>
      <c r="AC559" t="s">
        <v>1043</v>
      </c>
      <c r="AD559" t="s">
        <v>1043</v>
      </c>
    </row>
    <row r="560" spans="1:30" x14ac:dyDescent="0.3">
      <c r="A560">
        <v>555626097</v>
      </c>
      <c r="B560">
        <v>555626097</v>
      </c>
      <c r="C560">
        <v>1</v>
      </c>
      <c r="D560" t="s">
        <v>1081</v>
      </c>
      <c r="E560" t="s">
        <v>1081</v>
      </c>
      <c r="F560" t="s">
        <v>353</v>
      </c>
      <c r="G560" t="s">
        <v>116</v>
      </c>
      <c r="H560" t="s">
        <v>82</v>
      </c>
      <c r="I560" t="s">
        <v>40</v>
      </c>
      <c r="J560" t="s">
        <v>1041</v>
      </c>
      <c r="K560">
        <v>0</v>
      </c>
      <c r="L560">
        <v>0</v>
      </c>
      <c r="M560">
        <v>0</v>
      </c>
      <c r="N560">
        <v>2511.5108</v>
      </c>
      <c r="O560">
        <v>727.73137565521097</v>
      </c>
      <c r="P560" t="s">
        <v>41</v>
      </c>
      <c r="Q560">
        <v>0</v>
      </c>
      <c r="R560" t="s">
        <v>50</v>
      </c>
      <c r="S560">
        <v>2015</v>
      </c>
      <c r="T560" t="s">
        <v>40</v>
      </c>
      <c r="U560" t="s">
        <v>40</v>
      </c>
      <c r="V560" t="s">
        <v>40</v>
      </c>
      <c r="W560" t="s">
        <v>1080</v>
      </c>
      <c r="X560" t="s">
        <v>41</v>
      </c>
      <c r="Y560" t="s">
        <v>41</v>
      </c>
      <c r="Z560" t="s">
        <v>43</v>
      </c>
      <c r="AA560">
        <v>1856</v>
      </c>
      <c r="AB560" t="s">
        <v>40</v>
      </c>
      <c r="AC560" t="s">
        <v>1043</v>
      </c>
      <c r="AD560" t="s">
        <v>1043</v>
      </c>
    </row>
    <row r="561" spans="1:30" x14ac:dyDescent="0.3">
      <c r="A561">
        <v>555697576</v>
      </c>
      <c r="B561">
        <v>555697576</v>
      </c>
      <c r="C561">
        <v>1</v>
      </c>
      <c r="D561" t="s">
        <v>1082</v>
      </c>
      <c r="E561" t="s">
        <v>1082</v>
      </c>
      <c r="F561" t="s">
        <v>796</v>
      </c>
      <c r="G561" t="s">
        <v>797</v>
      </c>
      <c r="H561" t="s">
        <v>39</v>
      </c>
      <c r="I561" t="s">
        <v>49</v>
      </c>
      <c r="J561" t="s">
        <v>41</v>
      </c>
      <c r="K561">
        <v>0</v>
      </c>
      <c r="L561">
        <v>0</v>
      </c>
      <c r="M561">
        <v>0</v>
      </c>
      <c r="N561">
        <v>0</v>
      </c>
      <c r="O561">
        <v>2295.9935842612099</v>
      </c>
      <c r="P561" t="s">
        <v>41</v>
      </c>
      <c r="Q561">
        <v>0</v>
      </c>
      <c r="R561" t="s">
        <v>50</v>
      </c>
      <c r="S561">
        <v>2013</v>
      </c>
      <c r="T561" t="s">
        <v>263</v>
      </c>
      <c r="U561" t="s">
        <v>40</v>
      </c>
      <c r="V561" t="s">
        <v>798</v>
      </c>
      <c r="W561" t="s">
        <v>40</v>
      </c>
      <c r="X561" t="s">
        <v>41</v>
      </c>
      <c r="Y561" t="s">
        <v>41</v>
      </c>
      <c r="Z561" t="s">
        <v>43</v>
      </c>
      <c r="AA561">
        <v>1828</v>
      </c>
      <c r="AB561" t="s">
        <v>40</v>
      </c>
      <c r="AC561" t="s">
        <v>799</v>
      </c>
      <c r="AD561" t="s">
        <v>799</v>
      </c>
    </row>
    <row r="562" spans="1:30" x14ac:dyDescent="0.3">
      <c r="A562">
        <v>555697584</v>
      </c>
      <c r="B562">
        <v>555697584</v>
      </c>
      <c r="C562">
        <v>1</v>
      </c>
      <c r="D562" t="s">
        <v>1083</v>
      </c>
      <c r="E562" t="s">
        <v>1083</v>
      </c>
      <c r="F562" t="s">
        <v>796</v>
      </c>
      <c r="G562" t="s">
        <v>797</v>
      </c>
      <c r="H562" t="s">
        <v>39</v>
      </c>
      <c r="I562" t="s">
        <v>49</v>
      </c>
      <c r="J562" t="s">
        <v>41</v>
      </c>
      <c r="K562">
        <v>0</v>
      </c>
      <c r="L562">
        <v>0</v>
      </c>
      <c r="M562">
        <v>0</v>
      </c>
      <c r="N562">
        <v>3288</v>
      </c>
      <c r="O562">
        <v>3319.9742474073701</v>
      </c>
      <c r="P562" t="s">
        <v>41</v>
      </c>
      <c r="Q562">
        <v>0</v>
      </c>
      <c r="R562" t="s">
        <v>50</v>
      </c>
      <c r="S562">
        <v>2013</v>
      </c>
      <c r="T562" t="s">
        <v>263</v>
      </c>
      <c r="U562" t="s">
        <v>40</v>
      </c>
      <c r="V562" t="s">
        <v>798</v>
      </c>
      <c r="W562" t="s">
        <v>40</v>
      </c>
      <c r="X562" t="s">
        <v>41</v>
      </c>
      <c r="Y562" t="s">
        <v>41</v>
      </c>
      <c r="Z562" t="s">
        <v>43</v>
      </c>
      <c r="AA562">
        <v>1828</v>
      </c>
      <c r="AB562" t="s">
        <v>40</v>
      </c>
      <c r="AC562" t="s">
        <v>799</v>
      </c>
      <c r="AD562" t="s">
        <v>799</v>
      </c>
    </row>
    <row r="563" spans="1:30" x14ac:dyDescent="0.3">
      <c r="A563">
        <v>9035</v>
      </c>
      <c r="B563" t="s">
        <v>1084</v>
      </c>
      <c r="C563">
        <v>1</v>
      </c>
      <c r="D563" t="s">
        <v>1085</v>
      </c>
      <c r="E563" t="s">
        <v>1085</v>
      </c>
      <c r="F563" t="s">
        <v>802</v>
      </c>
      <c r="G563" t="s">
        <v>803</v>
      </c>
      <c r="H563" t="s">
        <v>39</v>
      </c>
      <c r="I563" t="s">
        <v>1086</v>
      </c>
      <c r="J563" t="s">
        <v>41</v>
      </c>
      <c r="K563">
        <v>1</v>
      </c>
      <c r="L563">
        <v>0</v>
      </c>
      <c r="M563">
        <v>1312.4123866355999</v>
      </c>
      <c r="N563">
        <v>9013</v>
      </c>
      <c r="O563">
        <v>5717.5291040383599</v>
      </c>
      <c r="P563" t="s">
        <v>40</v>
      </c>
      <c r="Q563">
        <v>0</v>
      </c>
      <c r="R563" t="s">
        <v>50</v>
      </c>
      <c r="S563">
        <v>2002</v>
      </c>
      <c r="T563" t="s">
        <v>66</v>
      </c>
      <c r="U563" t="s">
        <v>51</v>
      </c>
      <c r="V563" t="s">
        <v>798</v>
      </c>
      <c r="W563" t="s">
        <v>1087</v>
      </c>
      <c r="X563" t="s">
        <v>41</v>
      </c>
      <c r="Y563" t="s">
        <v>41</v>
      </c>
      <c r="Z563" t="s">
        <v>43</v>
      </c>
      <c r="AA563">
        <v>1828</v>
      </c>
      <c r="AB563" t="s">
        <v>40</v>
      </c>
      <c r="AC563" t="s">
        <v>799</v>
      </c>
      <c r="AD563" t="s">
        <v>799</v>
      </c>
    </row>
    <row r="564" spans="1:30" x14ac:dyDescent="0.3">
      <c r="A564">
        <v>903089</v>
      </c>
      <c r="B564">
        <v>903089</v>
      </c>
      <c r="C564">
        <v>1</v>
      </c>
      <c r="D564" t="s">
        <v>1088</v>
      </c>
      <c r="E564" t="s">
        <v>1088</v>
      </c>
      <c r="F564" t="s">
        <v>353</v>
      </c>
      <c r="G564" t="s">
        <v>116</v>
      </c>
      <c r="H564" t="s">
        <v>82</v>
      </c>
      <c r="I564" t="s">
        <v>40</v>
      </c>
      <c r="J564" t="s">
        <v>1089</v>
      </c>
      <c r="K564">
        <v>0</v>
      </c>
      <c r="L564">
        <v>0</v>
      </c>
      <c r="M564">
        <v>0</v>
      </c>
      <c r="N564">
        <v>131</v>
      </c>
      <c r="O564">
        <v>131.07231451481201</v>
      </c>
      <c r="P564" t="s">
        <v>41</v>
      </c>
      <c r="Q564">
        <v>0</v>
      </c>
      <c r="R564" t="s">
        <v>50</v>
      </c>
      <c r="S564">
        <v>2007</v>
      </c>
      <c r="T564" t="s">
        <v>40</v>
      </c>
      <c r="U564" t="s">
        <v>40</v>
      </c>
      <c r="V564" t="s">
        <v>40</v>
      </c>
      <c r="W564" t="s">
        <v>180</v>
      </c>
      <c r="X564" t="s">
        <v>41</v>
      </c>
      <c r="Y564" t="s">
        <v>41</v>
      </c>
      <c r="Z564" t="s">
        <v>43</v>
      </c>
      <c r="AA564">
        <v>1856</v>
      </c>
      <c r="AB564" t="s">
        <v>360</v>
      </c>
      <c r="AC564" t="s">
        <v>356</v>
      </c>
      <c r="AD564" t="s">
        <v>356</v>
      </c>
    </row>
    <row r="565" spans="1:30" x14ac:dyDescent="0.3">
      <c r="A565">
        <v>555720427</v>
      </c>
      <c r="B565">
        <v>555720427</v>
      </c>
      <c r="C565">
        <v>1</v>
      </c>
      <c r="D565" t="s">
        <v>1090</v>
      </c>
      <c r="E565" t="s">
        <v>1090</v>
      </c>
      <c r="F565" t="s">
        <v>102</v>
      </c>
      <c r="G565" t="s">
        <v>102</v>
      </c>
      <c r="H565" t="s">
        <v>39</v>
      </c>
      <c r="I565" t="s">
        <v>40</v>
      </c>
      <c r="J565" t="s">
        <v>41</v>
      </c>
      <c r="K565">
        <v>0</v>
      </c>
      <c r="L565">
        <v>0</v>
      </c>
      <c r="M565">
        <v>0</v>
      </c>
      <c r="N565">
        <v>9</v>
      </c>
      <c r="O565">
        <v>8.9940454997005101</v>
      </c>
      <c r="P565" t="s">
        <v>41</v>
      </c>
      <c r="Q565">
        <v>0</v>
      </c>
      <c r="R565" t="s">
        <v>50</v>
      </c>
      <c r="S565">
        <v>0</v>
      </c>
      <c r="T565" t="s">
        <v>40</v>
      </c>
      <c r="U565" t="s">
        <v>40</v>
      </c>
      <c r="V565" t="s">
        <v>40</v>
      </c>
      <c r="W565" t="s">
        <v>40</v>
      </c>
      <c r="X565" t="s">
        <v>41</v>
      </c>
      <c r="Y565" t="s">
        <v>41</v>
      </c>
      <c r="Z565" t="s">
        <v>43</v>
      </c>
      <c r="AA565">
        <v>1806</v>
      </c>
      <c r="AB565" t="s">
        <v>813</v>
      </c>
      <c r="AC565" t="s">
        <v>814</v>
      </c>
      <c r="AD565" t="s">
        <v>814</v>
      </c>
    </row>
    <row r="566" spans="1:30" x14ac:dyDescent="0.3">
      <c r="A566">
        <v>1993</v>
      </c>
      <c r="B566">
        <v>1993</v>
      </c>
      <c r="C566">
        <v>1</v>
      </c>
      <c r="D566" t="s">
        <v>1091</v>
      </c>
      <c r="E566" t="s">
        <v>1091</v>
      </c>
      <c r="F566" t="s">
        <v>123</v>
      </c>
      <c r="G566" t="s">
        <v>123</v>
      </c>
      <c r="H566" t="s">
        <v>39</v>
      </c>
      <c r="I566" t="s">
        <v>218</v>
      </c>
      <c r="J566" t="s">
        <v>41</v>
      </c>
      <c r="K566">
        <v>0</v>
      </c>
      <c r="L566">
        <v>0</v>
      </c>
      <c r="M566">
        <v>0</v>
      </c>
      <c r="N566">
        <v>23.399999999999899</v>
      </c>
      <c r="O566">
        <v>26.479478324471799</v>
      </c>
      <c r="P566" t="s">
        <v>41</v>
      </c>
      <c r="Q566">
        <v>0</v>
      </c>
      <c r="R566" t="s">
        <v>50</v>
      </c>
      <c r="S566">
        <v>1952</v>
      </c>
      <c r="T566" t="s">
        <v>40</v>
      </c>
      <c r="U566" t="s">
        <v>40</v>
      </c>
      <c r="V566" t="s">
        <v>40</v>
      </c>
      <c r="W566" t="s">
        <v>40</v>
      </c>
      <c r="X566" t="s">
        <v>41</v>
      </c>
      <c r="Y566" t="s">
        <v>41</v>
      </c>
      <c r="Z566" t="s">
        <v>43</v>
      </c>
      <c r="AA566">
        <v>1829</v>
      </c>
      <c r="AB566" t="s">
        <v>1092</v>
      </c>
      <c r="AC566" t="s">
        <v>840</v>
      </c>
      <c r="AD566" t="s">
        <v>840</v>
      </c>
    </row>
    <row r="567" spans="1:30" x14ac:dyDescent="0.3">
      <c r="A567">
        <v>555592560</v>
      </c>
      <c r="B567">
        <v>555592560</v>
      </c>
      <c r="C567">
        <v>1</v>
      </c>
      <c r="D567" t="s">
        <v>1093</v>
      </c>
      <c r="E567" t="s">
        <v>1093</v>
      </c>
      <c r="F567" t="s">
        <v>116</v>
      </c>
      <c r="G567" t="s">
        <v>116</v>
      </c>
      <c r="H567" t="s">
        <v>82</v>
      </c>
      <c r="I567" t="s">
        <v>40</v>
      </c>
      <c r="J567" t="s">
        <v>40</v>
      </c>
      <c r="K567">
        <v>0</v>
      </c>
      <c r="L567">
        <v>0</v>
      </c>
      <c r="M567">
        <v>0</v>
      </c>
      <c r="N567">
        <v>0</v>
      </c>
      <c r="O567">
        <v>0.330970555615203</v>
      </c>
      <c r="P567" t="s">
        <v>41</v>
      </c>
      <c r="Q567">
        <v>0</v>
      </c>
      <c r="R567" t="s">
        <v>50</v>
      </c>
      <c r="S567">
        <v>2013</v>
      </c>
      <c r="T567" t="s">
        <v>40</v>
      </c>
      <c r="U567" t="s">
        <v>40</v>
      </c>
      <c r="V567" t="s">
        <v>40</v>
      </c>
      <c r="W567" t="s">
        <v>180</v>
      </c>
      <c r="X567" t="s">
        <v>41</v>
      </c>
      <c r="Y567" t="s">
        <v>41</v>
      </c>
      <c r="Z567" t="s">
        <v>43</v>
      </c>
      <c r="AA567">
        <v>1856</v>
      </c>
      <c r="AB567" t="s">
        <v>40</v>
      </c>
      <c r="AC567" t="s">
        <v>840</v>
      </c>
      <c r="AD567" t="s">
        <v>840</v>
      </c>
    </row>
    <row r="568" spans="1:30" x14ac:dyDescent="0.3">
      <c r="A568">
        <v>7514</v>
      </c>
      <c r="B568">
        <v>7514</v>
      </c>
      <c r="C568">
        <v>1</v>
      </c>
      <c r="D568" t="s">
        <v>1094</v>
      </c>
      <c r="E568" t="s">
        <v>1094</v>
      </c>
      <c r="F568" t="s">
        <v>1095</v>
      </c>
      <c r="G568" t="s">
        <v>1095</v>
      </c>
      <c r="H568" t="s">
        <v>39</v>
      </c>
      <c r="I568" t="s">
        <v>1086</v>
      </c>
      <c r="J568" t="s">
        <v>41</v>
      </c>
      <c r="K568">
        <v>0</v>
      </c>
      <c r="L568">
        <v>0</v>
      </c>
      <c r="M568">
        <v>0</v>
      </c>
      <c r="N568">
        <v>1.2</v>
      </c>
      <c r="O568">
        <v>2.4226210761874198</v>
      </c>
      <c r="P568" t="s">
        <v>41</v>
      </c>
      <c r="Q568">
        <v>0</v>
      </c>
      <c r="R568" t="s">
        <v>50</v>
      </c>
      <c r="S568">
        <v>1975</v>
      </c>
      <c r="T568" t="s">
        <v>40</v>
      </c>
      <c r="U568" t="s">
        <v>40</v>
      </c>
      <c r="V568" t="s">
        <v>40</v>
      </c>
      <c r="W568" t="s">
        <v>40</v>
      </c>
      <c r="X568" t="s">
        <v>41</v>
      </c>
      <c r="Y568" t="s">
        <v>41</v>
      </c>
      <c r="Z568" t="s">
        <v>43</v>
      </c>
      <c r="AA568">
        <v>1829</v>
      </c>
      <c r="AB568" t="s">
        <v>1096</v>
      </c>
      <c r="AC568" t="s">
        <v>840</v>
      </c>
      <c r="AD568" t="s">
        <v>840</v>
      </c>
    </row>
    <row r="569" spans="1:30" x14ac:dyDescent="0.3">
      <c r="A569">
        <v>20350</v>
      </c>
      <c r="B569">
        <v>20350</v>
      </c>
      <c r="C569">
        <v>1</v>
      </c>
      <c r="D569" t="s">
        <v>1097</v>
      </c>
      <c r="E569" t="s">
        <v>1097</v>
      </c>
      <c r="F569" t="s">
        <v>1098</v>
      </c>
      <c r="G569" t="s">
        <v>1098</v>
      </c>
      <c r="H569" t="s">
        <v>39</v>
      </c>
      <c r="I569" t="s">
        <v>40</v>
      </c>
      <c r="J569" t="s">
        <v>41</v>
      </c>
      <c r="K569">
        <v>0</v>
      </c>
      <c r="L569">
        <v>0</v>
      </c>
      <c r="M569">
        <v>0</v>
      </c>
      <c r="N569">
        <v>551</v>
      </c>
      <c r="O569">
        <v>555.02089308730604</v>
      </c>
      <c r="P569" t="s">
        <v>41</v>
      </c>
      <c r="Q569">
        <v>0</v>
      </c>
      <c r="R569" t="s">
        <v>50</v>
      </c>
      <c r="S569">
        <v>1941</v>
      </c>
      <c r="T569" t="s">
        <v>40</v>
      </c>
      <c r="U569" t="s">
        <v>40</v>
      </c>
      <c r="V569" t="s">
        <v>40</v>
      </c>
      <c r="W569" t="s">
        <v>40</v>
      </c>
      <c r="X569" t="s">
        <v>41</v>
      </c>
      <c r="Y569" t="s">
        <v>41</v>
      </c>
      <c r="Z569" t="s">
        <v>43</v>
      </c>
      <c r="AA569">
        <v>1829</v>
      </c>
      <c r="AB569" t="s">
        <v>1092</v>
      </c>
      <c r="AC569" t="s">
        <v>840</v>
      </c>
      <c r="AD569" t="s">
        <v>840</v>
      </c>
    </row>
    <row r="570" spans="1:30" x14ac:dyDescent="0.3">
      <c r="A570">
        <v>4494</v>
      </c>
      <c r="B570">
        <v>4494</v>
      </c>
      <c r="C570">
        <v>1</v>
      </c>
      <c r="D570" t="s">
        <v>1099</v>
      </c>
      <c r="E570" t="s">
        <v>1100</v>
      </c>
      <c r="F570" t="s">
        <v>1101</v>
      </c>
      <c r="G570" t="s">
        <v>1101</v>
      </c>
      <c r="H570" t="s">
        <v>39</v>
      </c>
      <c r="I570" t="s">
        <v>74</v>
      </c>
      <c r="J570" t="s">
        <v>41</v>
      </c>
      <c r="K570">
        <v>0</v>
      </c>
      <c r="L570">
        <v>0</v>
      </c>
      <c r="M570">
        <v>0</v>
      </c>
      <c r="N570">
        <v>0</v>
      </c>
      <c r="O570">
        <v>434.61544814310002</v>
      </c>
      <c r="P570" t="s">
        <v>41</v>
      </c>
      <c r="Q570">
        <v>0</v>
      </c>
      <c r="R570" t="s">
        <v>50</v>
      </c>
      <c r="S570">
        <v>1974</v>
      </c>
      <c r="T570" t="s">
        <v>40</v>
      </c>
      <c r="U570" t="s">
        <v>40</v>
      </c>
      <c r="V570" t="s">
        <v>40</v>
      </c>
      <c r="W570" t="s">
        <v>40</v>
      </c>
      <c r="X570" t="s">
        <v>41</v>
      </c>
      <c r="Y570" t="s">
        <v>41</v>
      </c>
      <c r="Z570" t="s">
        <v>43</v>
      </c>
      <c r="AA570">
        <v>1822</v>
      </c>
      <c r="AB570" t="s">
        <v>1102</v>
      </c>
      <c r="AC570" t="s">
        <v>1103</v>
      </c>
      <c r="AD570" t="s">
        <v>1103</v>
      </c>
    </row>
    <row r="571" spans="1:30" x14ac:dyDescent="0.3">
      <c r="A571">
        <v>2251</v>
      </c>
      <c r="B571">
        <v>2251</v>
      </c>
      <c r="C571">
        <v>1</v>
      </c>
      <c r="D571" t="s">
        <v>1104</v>
      </c>
      <c r="E571" t="s">
        <v>1105</v>
      </c>
      <c r="F571" t="s">
        <v>1101</v>
      </c>
      <c r="G571" t="s">
        <v>1101</v>
      </c>
      <c r="H571" t="s">
        <v>39</v>
      </c>
      <c r="I571" t="s">
        <v>74</v>
      </c>
      <c r="J571" t="s">
        <v>41</v>
      </c>
      <c r="K571">
        <v>0</v>
      </c>
      <c r="L571">
        <v>1.34</v>
      </c>
      <c r="M571">
        <v>0.31025440002458099</v>
      </c>
      <c r="N571">
        <v>4450</v>
      </c>
      <c r="O571">
        <v>4594.0441327434301</v>
      </c>
      <c r="P571" t="s">
        <v>41</v>
      </c>
      <c r="Q571">
        <v>0</v>
      </c>
      <c r="R571" t="s">
        <v>50</v>
      </c>
      <c r="S571">
        <v>1960</v>
      </c>
      <c r="T571" t="s">
        <v>40</v>
      </c>
      <c r="U571" t="s">
        <v>40</v>
      </c>
      <c r="V571" t="s">
        <v>40</v>
      </c>
      <c r="W571" t="s">
        <v>40</v>
      </c>
      <c r="X571" t="s">
        <v>41</v>
      </c>
      <c r="Y571" t="s">
        <v>41</v>
      </c>
      <c r="Z571" t="s">
        <v>43</v>
      </c>
      <c r="AA571">
        <v>1822</v>
      </c>
      <c r="AB571" t="s">
        <v>1106</v>
      </c>
      <c r="AC571" t="s">
        <v>1103</v>
      </c>
      <c r="AD571" t="s">
        <v>1103</v>
      </c>
    </row>
    <row r="572" spans="1:30" x14ac:dyDescent="0.3">
      <c r="A572">
        <v>349</v>
      </c>
      <c r="B572">
        <v>349</v>
      </c>
      <c r="C572">
        <v>1</v>
      </c>
      <c r="D572" t="s">
        <v>1107</v>
      </c>
      <c r="E572" t="s">
        <v>1108</v>
      </c>
      <c r="F572" t="s">
        <v>123</v>
      </c>
      <c r="G572" t="s">
        <v>123</v>
      </c>
      <c r="H572" t="s">
        <v>39</v>
      </c>
      <c r="I572" t="s">
        <v>124</v>
      </c>
      <c r="J572" t="s">
        <v>41</v>
      </c>
      <c r="K572">
        <v>0</v>
      </c>
      <c r="L572">
        <v>0</v>
      </c>
      <c r="M572">
        <v>0</v>
      </c>
      <c r="N572">
        <v>14450</v>
      </c>
      <c r="O572">
        <v>14510.1191857462</v>
      </c>
      <c r="P572" t="s">
        <v>41</v>
      </c>
      <c r="Q572">
        <v>0</v>
      </c>
      <c r="R572" t="s">
        <v>50</v>
      </c>
      <c r="S572">
        <v>1938</v>
      </c>
      <c r="T572" t="s">
        <v>40</v>
      </c>
      <c r="U572" t="s">
        <v>40</v>
      </c>
      <c r="V572" t="s">
        <v>40</v>
      </c>
      <c r="W572" t="s">
        <v>40</v>
      </c>
      <c r="X572" t="s">
        <v>41</v>
      </c>
      <c r="Y572" t="s">
        <v>41</v>
      </c>
      <c r="Z572" t="s">
        <v>43</v>
      </c>
      <c r="AA572">
        <v>1822</v>
      </c>
      <c r="AB572" t="s">
        <v>1109</v>
      </c>
      <c r="AC572" t="s">
        <v>1103</v>
      </c>
      <c r="AD572" t="s">
        <v>1103</v>
      </c>
    </row>
    <row r="573" spans="1:30" x14ac:dyDescent="0.3">
      <c r="A573">
        <v>555756391</v>
      </c>
      <c r="B573">
        <v>555756391</v>
      </c>
      <c r="C573">
        <v>1</v>
      </c>
      <c r="D573" t="s">
        <v>1110</v>
      </c>
      <c r="E573" t="s">
        <v>1111</v>
      </c>
      <c r="F573" t="s">
        <v>1112</v>
      </c>
      <c r="G573" t="s">
        <v>1112</v>
      </c>
      <c r="H573" t="s">
        <v>39</v>
      </c>
      <c r="I573" t="s">
        <v>40</v>
      </c>
      <c r="J573" t="s">
        <v>41</v>
      </c>
      <c r="K573">
        <v>0</v>
      </c>
      <c r="L573">
        <v>0</v>
      </c>
      <c r="M573">
        <v>0</v>
      </c>
      <c r="N573">
        <v>0</v>
      </c>
      <c r="O573">
        <v>12968.1989889298</v>
      </c>
      <c r="P573" t="s">
        <v>41</v>
      </c>
      <c r="Q573">
        <v>0</v>
      </c>
      <c r="R573" t="s">
        <v>42</v>
      </c>
      <c r="S573">
        <v>0</v>
      </c>
      <c r="T573" t="s">
        <v>40</v>
      </c>
      <c r="U573" t="s">
        <v>40</v>
      </c>
      <c r="V573" t="s">
        <v>40</v>
      </c>
      <c r="W573" t="s">
        <v>40</v>
      </c>
      <c r="X573" t="s">
        <v>41</v>
      </c>
      <c r="Y573" t="s">
        <v>41</v>
      </c>
      <c r="Z573" t="s">
        <v>43</v>
      </c>
      <c r="AA573">
        <v>1822</v>
      </c>
      <c r="AB573" t="s">
        <v>40</v>
      </c>
      <c r="AC573" t="s">
        <v>1103</v>
      </c>
      <c r="AD573" t="s">
        <v>1103</v>
      </c>
    </row>
    <row r="574" spans="1:30" x14ac:dyDescent="0.3">
      <c r="A574">
        <v>555592562</v>
      </c>
      <c r="B574">
        <v>555592562</v>
      </c>
      <c r="C574">
        <v>1</v>
      </c>
      <c r="D574" t="s">
        <v>1113</v>
      </c>
      <c r="E574" t="s">
        <v>1113</v>
      </c>
      <c r="F574" t="s">
        <v>116</v>
      </c>
      <c r="G574" t="s">
        <v>116</v>
      </c>
      <c r="H574" t="s">
        <v>82</v>
      </c>
      <c r="I574" t="s">
        <v>40</v>
      </c>
      <c r="J574" t="s">
        <v>40</v>
      </c>
      <c r="K574">
        <v>0</v>
      </c>
      <c r="L574">
        <v>0</v>
      </c>
      <c r="M574">
        <v>0</v>
      </c>
      <c r="N574">
        <v>0</v>
      </c>
      <c r="O574">
        <v>17.508023379055501</v>
      </c>
      <c r="P574" t="s">
        <v>41</v>
      </c>
      <c r="Q574">
        <v>0</v>
      </c>
      <c r="R574" t="s">
        <v>50</v>
      </c>
      <c r="S574">
        <v>2013</v>
      </c>
      <c r="T574" t="s">
        <v>40</v>
      </c>
      <c r="U574" t="s">
        <v>40</v>
      </c>
      <c r="V574" t="s">
        <v>40</v>
      </c>
      <c r="W574" t="s">
        <v>180</v>
      </c>
      <c r="X574" t="s">
        <v>41</v>
      </c>
      <c r="Y574" t="s">
        <v>41</v>
      </c>
      <c r="Z574" t="s">
        <v>43</v>
      </c>
      <c r="AA574">
        <v>1856</v>
      </c>
      <c r="AB574" t="s">
        <v>40</v>
      </c>
      <c r="AC574" t="s">
        <v>840</v>
      </c>
      <c r="AD574" t="s">
        <v>840</v>
      </c>
    </row>
    <row r="575" spans="1:30" x14ac:dyDescent="0.3">
      <c r="A575">
        <v>555624125</v>
      </c>
      <c r="B575">
        <v>555624125</v>
      </c>
      <c r="C575">
        <v>1</v>
      </c>
      <c r="D575" t="s">
        <v>1114</v>
      </c>
      <c r="E575" t="s">
        <v>1114</v>
      </c>
      <c r="F575" t="s">
        <v>116</v>
      </c>
      <c r="G575" t="s">
        <v>116</v>
      </c>
      <c r="H575" t="s">
        <v>82</v>
      </c>
      <c r="I575" t="s">
        <v>40</v>
      </c>
      <c r="J575" t="s">
        <v>1115</v>
      </c>
      <c r="K575">
        <v>0</v>
      </c>
      <c r="L575">
        <v>0</v>
      </c>
      <c r="M575">
        <v>0</v>
      </c>
      <c r="N575">
        <v>2011.94</v>
      </c>
      <c r="O575">
        <v>1997.68127466698</v>
      </c>
      <c r="P575" t="s">
        <v>41</v>
      </c>
      <c r="Q575">
        <v>0</v>
      </c>
      <c r="R575" t="s">
        <v>50</v>
      </c>
      <c r="S575">
        <v>2013</v>
      </c>
      <c r="T575" t="s">
        <v>40</v>
      </c>
      <c r="U575" t="s">
        <v>40</v>
      </c>
      <c r="V575" t="s">
        <v>1116</v>
      </c>
      <c r="W575" t="s">
        <v>1117</v>
      </c>
      <c r="X575" t="s">
        <v>41</v>
      </c>
      <c r="Y575" t="s">
        <v>41</v>
      </c>
      <c r="Z575" t="s">
        <v>43</v>
      </c>
      <c r="AA575">
        <v>1856</v>
      </c>
      <c r="AB575" t="s">
        <v>40</v>
      </c>
      <c r="AC575" t="s">
        <v>840</v>
      </c>
      <c r="AD575" t="s">
        <v>840</v>
      </c>
    </row>
    <row r="576" spans="1:30" x14ac:dyDescent="0.3">
      <c r="A576">
        <v>1991</v>
      </c>
      <c r="B576">
        <v>1991</v>
      </c>
      <c r="C576">
        <v>1</v>
      </c>
      <c r="D576" t="s">
        <v>1118</v>
      </c>
      <c r="E576" t="s">
        <v>1118</v>
      </c>
      <c r="F576" t="s">
        <v>123</v>
      </c>
      <c r="G576" t="s">
        <v>123</v>
      </c>
      <c r="H576" t="s">
        <v>39</v>
      </c>
      <c r="I576" t="s">
        <v>124</v>
      </c>
      <c r="J576" t="s">
        <v>41</v>
      </c>
      <c r="K576">
        <v>0</v>
      </c>
      <c r="L576">
        <v>0</v>
      </c>
      <c r="M576">
        <v>0</v>
      </c>
      <c r="N576">
        <v>14651</v>
      </c>
      <c r="O576">
        <v>14698.848666460601</v>
      </c>
      <c r="P576" t="s">
        <v>41</v>
      </c>
      <c r="Q576">
        <v>0</v>
      </c>
      <c r="R576" t="s">
        <v>50</v>
      </c>
      <c r="S576">
        <v>1949</v>
      </c>
      <c r="T576" t="s">
        <v>40</v>
      </c>
      <c r="U576" t="s">
        <v>40</v>
      </c>
      <c r="V576" t="s">
        <v>40</v>
      </c>
      <c r="W576" t="s">
        <v>40</v>
      </c>
      <c r="X576" t="s">
        <v>41</v>
      </c>
      <c r="Y576" t="s">
        <v>41</v>
      </c>
      <c r="Z576" t="s">
        <v>43</v>
      </c>
      <c r="AA576">
        <v>1829</v>
      </c>
      <c r="AB576" t="s">
        <v>1092</v>
      </c>
      <c r="AC576" t="s">
        <v>840</v>
      </c>
      <c r="AD576" t="s">
        <v>840</v>
      </c>
    </row>
    <row r="577" spans="1:30" x14ac:dyDescent="0.3">
      <c r="A577">
        <v>2530</v>
      </c>
      <c r="B577">
        <v>2530</v>
      </c>
      <c r="C577">
        <v>1</v>
      </c>
      <c r="D577" t="s">
        <v>1119</v>
      </c>
      <c r="E577" t="s">
        <v>1119</v>
      </c>
      <c r="F577" t="s">
        <v>123</v>
      </c>
      <c r="G577" t="s">
        <v>123</v>
      </c>
      <c r="H577" t="s">
        <v>39</v>
      </c>
      <c r="I577" t="s">
        <v>124</v>
      </c>
      <c r="J577" t="s">
        <v>41</v>
      </c>
      <c r="K577">
        <v>0</v>
      </c>
      <c r="L577">
        <v>0</v>
      </c>
      <c r="M577">
        <v>0</v>
      </c>
      <c r="N577">
        <v>560.1</v>
      </c>
      <c r="O577">
        <v>515.47476293411205</v>
      </c>
      <c r="P577" t="s">
        <v>41</v>
      </c>
      <c r="Q577">
        <v>0</v>
      </c>
      <c r="R577" t="s">
        <v>50</v>
      </c>
      <c r="S577">
        <v>1979</v>
      </c>
      <c r="T577" t="s">
        <v>40</v>
      </c>
      <c r="U577" t="s">
        <v>40</v>
      </c>
      <c r="V577" t="s">
        <v>40</v>
      </c>
      <c r="W577" t="s">
        <v>40</v>
      </c>
      <c r="X577" t="s">
        <v>41</v>
      </c>
      <c r="Y577" t="s">
        <v>41</v>
      </c>
      <c r="Z577" t="s">
        <v>43</v>
      </c>
      <c r="AA577">
        <v>1829</v>
      </c>
      <c r="AB577" t="s">
        <v>1092</v>
      </c>
      <c r="AC577" t="s">
        <v>840</v>
      </c>
      <c r="AD577" t="s">
        <v>840</v>
      </c>
    </row>
    <row r="578" spans="1:30" x14ac:dyDescent="0.3">
      <c r="A578">
        <v>2524</v>
      </c>
      <c r="B578">
        <v>2524</v>
      </c>
      <c r="C578">
        <v>1</v>
      </c>
      <c r="D578" t="s">
        <v>1120</v>
      </c>
      <c r="E578" t="s">
        <v>1120</v>
      </c>
      <c r="F578" t="s">
        <v>1121</v>
      </c>
      <c r="G578" t="s">
        <v>1121</v>
      </c>
      <c r="H578" t="s">
        <v>39</v>
      </c>
      <c r="I578" t="s">
        <v>49</v>
      </c>
      <c r="J578" t="s">
        <v>41</v>
      </c>
      <c r="K578">
        <v>0</v>
      </c>
      <c r="L578">
        <v>0</v>
      </c>
      <c r="M578">
        <v>0</v>
      </c>
      <c r="N578">
        <v>1692.14</v>
      </c>
      <c r="O578">
        <v>1727.5393111410799</v>
      </c>
      <c r="P578" t="s">
        <v>41</v>
      </c>
      <c r="Q578">
        <v>0</v>
      </c>
      <c r="R578" t="s">
        <v>50</v>
      </c>
      <c r="S578">
        <v>1975</v>
      </c>
      <c r="T578" t="s">
        <v>40</v>
      </c>
      <c r="U578" t="s">
        <v>40</v>
      </c>
      <c r="V578" t="s">
        <v>40</v>
      </c>
      <c r="W578" t="s">
        <v>40</v>
      </c>
      <c r="X578" t="s">
        <v>41</v>
      </c>
      <c r="Y578" t="s">
        <v>41</v>
      </c>
      <c r="Z578" t="s">
        <v>43</v>
      </c>
      <c r="AA578">
        <v>1829</v>
      </c>
      <c r="AB578" t="s">
        <v>1096</v>
      </c>
      <c r="AC578" t="s">
        <v>840</v>
      </c>
      <c r="AD578" t="s">
        <v>840</v>
      </c>
    </row>
    <row r="579" spans="1:30" x14ac:dyDescent="0.3">
      <c r="A579">
        <v>2527</v>
      </c>
      <c r="B579">
        <v>2527</v>
      </c>
      <c r="C579">
        <v>1</v>
      </c>
      <c r="D579" t="s">
        <v>1122</v>
      </c>
      <c r="E579" t="s">
        <v>1122</v>
      </c>
      <c r="F579" t="s">
        <v>1121</v>
      </c>
      <c r="G579" t="s">
        <v>1121</v>
      </c>
      <c r="H579" t="s">
        <v>39</v>
      </c>
      <c r="I579" t="s">
        <v>49</v>
      </c>
      <c r="J579" t="s">
        <v>41</v>
      </c>
      <c r="K579">
        <v>0</v>
      </c>
      <c r="L579">
        <v>0</v>
      </c>
      <c r="M579">
        <v>0</v>
      </c>
      <c r="N579">
        <v>2894</v>
      </c>
      <c r="O579">
        <v>2887.8272573443201</v>
      </c>
      <c r="P579" t="s">
        <v>41</v>
      </c>
      <c r="Q579">
        <v>0</v>
      </c>
      <c r="R579" t="s">
        <v>50</v>
      </c>
      <c r="S579">
        <v>1975</v>
      </c>
      <c r="T579" t="s">
        <v>40</v>
      </c>
      <c r="U579" t="s">
        <v>40</v>
      </c>
      <c r="V579" t="s">
        <v>40</v>
      </c>
      <c r="W579" t="s">
        <v>40</v>
      </c>
      <c r="X579" t="s">
        <v>41</v>
      </c>
      <c r="Y579" t="s">
        <v>41</v>
      </c>
      <c r="Z579" t="s">
        <v>43</v>
      </c>
      <c r="AA579">
        <v>1829</v>
      </c>
      <c r="AB579" t="s">
        <v>1096</v>
      </c>
      <c r="AC579" t="s">
        <v>840</v>
      </c>
      <c r="AD579" t="s">
        <v>840</v>
      </c>
    </row>
    <row r="580" spans="1:30" x14ac:dyDescent="0.3">
      <c r="A580">
        <v>2529</v>
      </c>
      <c r="B580">
        <v>2529</v>
      </c>
      <c r="C580">
        <v>1</v>
      </c>
      <c r="D580" t="s">
        <v>1123</v>
      </c>
      <c r="E580" t="s">
        <v>1123</v>
      </c>
      <c r="F580" t="s">
        <v>1121</v>
      </c>
      <c r="G580" t="s">
        <v>1121</v>
      </c>
      <c r="H580" t="s">
        <v>39</v>
      </c>
      <c r="I580" t="s">
        <v>49</v>
      </c>
      <c r="J580" t="s">
        <v>41</v>
      </c>
      <c r="K580">
        <v>0</v>
      </c>
      <c r="L580">
        <v>0</v>
      </c>
      <c r="M580">
        <v>0</v>
      </c>
      <c r="N580">
        <v>2955</v>
      </c>
      <c r="O580">
        <v>2989.4357915423502</v>
      </c>
      <c r="P580" t="s">
        <v>41</v>
      </c>
      <c r="Q580">
        <v>0</v>
      </c>
      <c r="R580" t="s">
        <v>50</v>
      </c>
      <c r="S580">
        <v>1975</v>
      </c>
      <c r="T580" t="s">
        <v>40</v>
      </c>
      <c r="U580" t="s">
        <v>40</v>
      </c>
      <c r="V580" t="s">
        <v>40</v>
      </c>
      <c r="W580" t="s">
        <v>40</v>
      </c>
      <c r="X580" t="s">
        <v>41</v>
      </c>
      <c r="Y580" t="s">
        <v>41</v>
      </c>
      <c r="Z580" t="s">
        <v>43</v>
      </c>
      <c r="AA580">
        <v>1829</v>
      </c>
      <c r="AB580" t="s">
        <v>1092</v>
      </c>
      <c r="AC580" t="s">
        <v>840</v>
      </c>
      <c r="AD580" t="s">
        <v>840</v>
      </c>
    </row>
    <row r="581" spans="1:30" x14ac:dyDescent="0.3">
      <c r="A581">
        <v>20342</v>
      </c>
      <c r="B581">
        <v>20342</v>
      </c>
      <c r="C581">
        <v>1</v>
      </c>
      <c r="D581" t="s">
        <v>1124</v>
      </c>
      <c r="E581" t="s">
        <v>1124</v>
      </c>
      <c r="F581" t="s">
        <v>1098</v>
      </c>
      <c r="G581" t="s">
        <v>1098</v>
      </c>
      <c r="H581" t="s">
        <v>39</v>
      </c>
      <c r="I581" t="s">
        <v>40</v>
      </c>
      <c r="J581" t="s">
        <v>41</v>
      </c>
      <c r="K581">
        <v>0</v>
      </c>
      <c r="L581">
        <v>0</v>
      </c>
      <c r="M581">
        <v>0</v>
      </c>
      <c r="N581">
        <v>233</v>
      </c>
      <c r="O581">
        <v>245.70245791970601</v>
      </c>
      <c r="P581" t="s">
        <v>41</v>
      </c>
      <c r="Q581">
        <v>0</v>
      </c>
      <c r="R581" t="s">
        <v>50</v>
      </c>
      <c r="S581">
        <v>1961</v>
      </c>
      <c r="T581" t="s">
        <v>40</v>
      </c>
      <c r="U581" t="s">
        <v>40</v>
      </c>
      <c r="V581" t="s">
        <v>40</v>
      </c>
      <c r="W581" t="s">
        <v>40</v>
      </c>
      <c r="X581" t="s">
        <v>41</v>
      </c>
      <c r="Y581" t="s">
        <v>41</v>
      </c>
      <c r="Z581" t="s">
        <v>43</v>
      </c>
      <c r="AA581">
        <v>1829</v>
      </c>
      <c r="AB581" t="s">
        <v>1092</v>
      </c>
      <c r="AC581" t="s">
        <v>840</v>
      </c>
      <c r="AD581" t="s">
        <v>840</v>
      </c>
    </row>
    <row r="582" spans="1:30" x14ac:dyDescent="0.3">
      <c r="A582">
        <v>7512</v>
      </c>
      <c r="B582">
        <v>7512</v>
      </c>
      <c r="C582">
        <v>1</v>
      </c>
      <c r="D582" t="s">
        <v>1125</v>
      </c>
      <c r="E582" t="s">
        <v>1125</v>
      </c>
      <c r="F582" t="s">
        <v>1121</v>
      </c>
      <c r="G582" t="s">
        <v>1121</v>
      </c>
      <c r="H582" t="s">
        <v>39</v>
      </c>
      <c r="I582" t="s">
        <v>49</v>
      </c>
      <c r="J582" t="s">
        <v>41</v>
      </c>
      <c r="K582">
        <v>0</v>
      </c>
      <c r="L582">
        <v>0</v>
      </c>
      <c r="M582">
        <v>0</v>
      </c>
      <c r="N582">
        <v>510</v>
      </c>
      <c r="O582">
        <v>492.75667041806201</v>
      </c>
      <c r="P582" t="s">
        <v>41</v>
      </c>
      <c r="Q582">
        <v>0</v>
      </c>
      <c r="R582" t="s">
        <v>50</v>
      </c>
      <c r="S582">
        <v>1975</v>
      </c>
      <c r="T582" t="s">
        <v>40</v>
      </c>
      <c r="U582" t="s">
        <v>40</v>
      </c>
      <c r="V582" t="s">
        <v>40</v>
      </c>
      <c r="W582" t="s">
        <v>40</v>
      </c>
      <c r="X582" t="s">
        <v>41</v>
      </c>
      <c r="Y582" t="s">
        <v>41</v>
      </c>
      <c r="Z582" t="s">
        <v>43</v>
      </c>
      <c r="AA582">
        <v>1829</v>
      </c>
      <c r="AB582" t="s">
        <v>1092</v>
      </c>
      <c r="AC582" t="s">
        <v>840</v>
      </c>
      <c r="AD582" t="s">
        <v>840</v>
      </c>
    </row>
    <row r="583" spans="1:30" x14ac:dyDescent="0.3">
      <c r="A583">
        <v>20343</v>
      </c>
      <c r="B583">
        <v>20343</v>
      </c>
      <c r="C583">
        <v>1</v>
      </c>
      <c r="D583" t="s">
        <v>1126</v>
      </c>
      <c r="E583" t="s">
        <v>1126</v>
      </c>
      <c r="F583" t="s">
        <v>1098</v>
      </c>
      <c r="G583" t="s">
        <v>1098</v>
      </c>
      <c r="H583" t="s">
        <v>39</v>
      </c>
      <c r="I583" t="s">
        <v>40</v>
      </c>
      <c r="J583" t="s">
        <v>41</v>
      </c>
      <c r="K583">
        <v>0</v>
      </c>
      <c r="L583">
        <v>0</v>
      </c>
      <c r="M583">
        <v>0</v>
      </c>
      <c r="N583">
        <v>1442.29999999999</v>
      </c>
      <c r="O583">
        <v>1428.50841558101</v>
      </c>
      <c r="P583" t="s">
        <v>41</v>
      </c>
      <c r="Q583">
        <v>0</v>
      </c>
      <c r="R583" t="s">
        <v>50</v>
      </c>
      <c r="S583">
        <v>1930</v>
      </c>
      <c r="T583" t="s">
        <v>40</v>
      </c>
      <c r="U583" t="s">
        <v>40</v>
      </c>
      <c r="V583" t="s">
        <v>40</v>
      </c>
      <c r="W583" t="s">
        <v>40</v>
      </c>
      <c r="X583" t="s">
        <v>41</v>
      </c>
      <c r="Y583" t="s">
        <v>41</v>
      </c>
      <c r="Z583" t="s">
        <v>43</v>
      </c>
      <c r="AA583">
        <v>1829</v>
      </c>
      <c r="AB583" t="s">
        <v>1092</v>
      </c>
      <c r="AC583" t="s">
        <v>840</v>
      </c>
      <c r="AD583" t="s">
        <v>840</v>
      </c>
    </row>
    <row r="584" spans="1:30" x14ac:dyDescent="0.3">
      <c r="A584">
        <v>20357</v>
      </c>
      <c r="B584">
        <v>20357</v>
      </c>
      <c r="C584">
        <v>1</v>
      </c>
      <c r="D584" t="s">
        <v>1127</v>
      </c>
      <c r="E584" t="s">
        <v>1127</v>
      </c>
      <c r="F584" t="s">
        <v>1098</v>
      </c>
      <c r="G584" t="s">
        <v>1098</v>
      </c>
      <c r="H584" t="s">
        <v>39</v>
      </c>
      <c r="I584" t="s">
        <v>40</v>
      </c>
      <c r="J584" t="s">
        <v>41</v>
      </c>
      <c r="K584">
        <v>0</v>
      </c>
      <c r="L584">
        <v>0</v>
      </c>
      <c r="M584">
        <v>0</v>
      </c>
      <c r="N584">
        <v>544</v>
      </c>
      <c r="O584">
        <v>529.27842433203205</v>
      </c>
      <c r="P584" t="s">
        <v>41</v>
      </c>
      <c r="Q584">
        <v>0</v>
      </c>
      <c r="R584" t="s">
        <v>50</v>
      </c>
      <c r="S584">
        <v>1961</v>
      </c>
      <c r="T584" t="s">
        <v>40</v>
      </c>
      <c r="U584" t="s">
        <v>40</v>
      </c>
      <c r="V584" t="s">
        <v>40</v>
      </c>
      <c r="W584" t="s">
        <v>40</v>
      </c>
      <c r="X584" t="s">
        <v>41</v>
      </c>
      <c r="Y584" t="s">
        <v>41</v>
      </c>
      <c r="Z584" t="s">
        <v>43</v>
      </c>
      <c r="AA584">
        <v>1829</v>
      </c>
      <c r="AB584" t="s">
        <v>1092</v>
      </c>
      <c r="AC584" t="s">
        <v>840</v>
      </c>
      <c r="AD584" t="s">
        <v>840</v>
      </c>
    </row>
    <row r="585" spans="1:30" x14ac:dyDescent="0.3">
      <c r="A585">
        <v>20358</v>
      </c>
      <c r="B585">
        <v>20358</v>
      </c>
      <c r="C585">
        <v>1</v>
      </c>
      <c r="D585" t="s">
        <v>1128</v>
      </c>
      <c r="E585" t="s">
        <v>1128</v>
      </c>
      <c r="F585" t="s">
        <v>1098</v>
      </c>
      <c r="G585" t="s">
        <v>1098</v>
      </c>
      <c r="H585" t="s">
        <v>39</v>
      </c>
      <c r="I585" t="s">
        <v>40</v>
      </c>
      <c r="J585" t="s">
        <v>41</v>
      </c>
      <c r="K585">
        <v>0</v>
      </c>
      <c r="L585">
        <v>0</v>
      </c>
      <c r="M585">
        <v>0</v>
      </c>
      <c r="N585">
        <v>322</v>
      </c>
      <c r="O585">
        <v>317.23055839665301</v>
      </c>
      <c r="P585" t="s">
        <v>41</v>
      </c>
      <c r="Q585">
        <v>0</v>
      </c>
      <c r="R585" t="s">
        <v>50</v>
      </c>
      <c r="S585">
        <v>1961</v>
      </c>
      <c r="T585" t="s">
        <v>40</v>
      </c>
      <c r="U585" t="s">
        <v>40</v>
      </c>
      <c r="V585" t="s">
        <v>40</v>
      </c>
      <c r="W585" t="s">
        <v>40</v>
      </c>
      <c r="X585" t="s">
        <v>41</v>
      </c>
      <c r="Y585" t="s">
        <v>41</v>
      </c>
      <c r="Z585" t="s">
        <v>43</v>
      </c>
      <c r="AA585">
        <v>1829</v>
      </c>
      <c r="AB585" t="s">
        <v>1092</v>
      </c>
      <c r="AC585" t="s">
        <v>840</v>
      </c>
      <c r="AD585" t="s">
        <v>840</v>
      </c>
    </row>
    <row r="586" spans="1:30" x14ac:dyDescent="0.3">
      <c r="A586">
        <v>301723</v>
      </c>
      <c r="B586">
        <v>301723</v>
      </c>
      <c r="C586">
        <v>1</v>
      </c>
      <c r="D586" t="s">
        <v>1129</v>
      </c>
      <c r="E586" t="s">
        <v>1129</v>
      </c>
      <c r="F586" t="s">
        <v>1098</v>
      </c>
      <c r="G586" t="s">
        <v>1098</v>
      </c>
      <c r="H586" t="s">
        <v>39</v>
      </c>
      <c r="I586" t="s">
        <v>40</v>
      </c>
      <c r="J586" t="s">
        <v>41</v>
      </c>
      <c r="K586">
        <v>0</v>
      </c>
      <c r="L586">
        <v>0</v>
      </c>
      <c r="M586">
        <v>0</v>
      </c>
      <c r="N586">
        <v>0</v>
      </c>
      <c r="O586">
        <v>20.4395624595779</v>
      </c>
      <c r="P586" t="s">
        <v>41</v>
      </c>
      <c r="Q586">
        <v>0</v>
      </c>
      <c r="R586" t="s">
        <v>50</v>
      </c>
      <c r="S586">
        <v>0</v>
      </c>
      <c r="T586" t="s">
        <v>40</v>
      </c>
      <c r="U586" t="s">
        <v>40</v>
      </c>
      <c r="V586" t="s">
        <v>40</v>
      </c>
      <c r="W586" t="s">
        <v>40</v>
      </c>
      <c r="X586" t="s">
        <v>41</v>
      </c>
      <c r="Y586" t="s">
        <v>41</v>
      </c>
      <c r="Z586" t="s">
        <v>43</v>
      </c>
      <c r="AA586">
        <v>1829</v>
      </c>
      <c r="AB586" t="s">
        <v>1092</v>
      </c>
      <c r="AC586" t="s">
        <v>840</v>
      </c>
      <c r="AD586" t="s">
        <v>840</v>
      </c>
    </row>
    <row r="587" spans="1:30" x14ac:dyDescent="0.3">
      <c r="A587">
        <v>303734</v>
      </c>
      <c r="B587">
        <v>303734</v>
      </c>
      <c r="C587">
        <v>1</v>
      </c>
      <c r="D587" t="s">
        <v>1130</v>
      </c>
      <c r="E587" t="s">
        <v>1130</v>
      </c>
      <c r="F587" t="s">
        <v>629</v>
      </c>
      <c r="G587" t="s">
        <v>629</v>
      </c>
      <c r="H587" t="s">
        <v>39</v>
      </c>
      <c r="I587" t="s">
        <v>40</v>
      </c>
      <c r="J587" t="s">
        <v>41</v>
      </c>
      <c r="K587">
        <v>0</v>
      </c>
      <c r="L587">
        <v>0</v>
      </c>
      <c r="M587">
        <v>0</v>
      </c>
      <c r="N587">
        <v>2.25393</v>
      </c>
      <c r="O587">
        <v>582.09015320521701</v>
      </c>
      <c r="P587" t="s">
        <v>41</v>
      </c>
      <c r="Q587">
        <v>0</v>
      </c>
      <c r="R587" t="s">
        <v>50</v>
      </c>
      <c r="S587">
        <v>2002</v>
      </c>
      <c r="T587" t="s">
        <v>40</v>
      </c>
      <c r="U587" t="s">
        <v>40</v>
      </c>
      <c r="V587" t="s">
        <v>40</v>
      </c>
      <c r="W587" t="s">
        <v>40</v>
      </c>
      <c r="X587" t="s">
        <v>41</v>
      </c>
      <c r="Y587" t="s">
        <v>41</v>
      </c>
      <c r="Z587" t="s">
        <v>43</v>
      </c>
      <c r="AA587">
        <v>1829</v>
      </c>
      <c r="AB587" t="s">
        <v>1092</v>
      </c>
      <c r="AC587" t="s">
        <v>840</v>
      </c>
      <c r="AD587" t="s">
        <v>840</v>
      </c>
    </row>
    <row r="588" spans="1:30" x14ac:dyDescent="0.3">
      <c r="A588">
        <v>303735</v>
      </c>
      <c r="B588">
        <v>303735</v>
      </c>
      <c r="C588">
        <v>1</v>
      </c>
      <c r="D588" t="s">
        <v>1131</v>
      </c>
      <c r="E588" t="s">
        <v>1131</v>
      </c>
      <c r="F588" t="s">
        <v>629</v>
      </c>
      <c r="G588" t="s">
        <v>629</v>
      </c>
      <c r="H588" t="s">
        <v>39</v>
      </c>
      <c r="I588" t="s">
        <v>40</v>
      </c>
      <c r="J588" t="s">
        <v>41</v>
      </c>
      <c r="K588">
        <v>0</v>
      </c>
      <c r="L588">
        <v>0</v>
      </c>
      <c r="M588">
        <v>0</v>
      </c>
      <c r="N588">
        <v>0.83790750000000003</v>
      </c>
      <c r="O588">
        <v>216.484331727686</v>
      </c>
      <c r="P588" t="s">
        <v>41</v>
      </c>
      <c r="Q588">
        <v>0</v>
      </c>
      <c r="R588" t="s">
        <v>50</v>
      </c>
      <c r="S588">
        <v>2002</v>
      </c>
      <c r="T588" t="s">
        <v>40</v>
      </c>
      <c r="U588" t="s">
        <v>40</v>
      </c>
      <c r="V588" t="s">
        <v>40</v>
      </c>
      <c r="W588" t="s">
        <v>40</v>
      </c>
      <c r="X588" t="s">
        <v>41</v>
      </c>
      <c r="Y588" t="s">
        <v>41</v>
      </c>
      <c r="Z588" t="s">
        <v>43</v>
      </c>
      <c r="AA588">
        <v>1829</v>
      </c>
      <c r="AB588" t="s">
        <v>1092</v>
      </c>
      <c r="AC588" t="s">
        <v>840</v>
      </c>
      <c r="AD588" t="s">
        <v>840</v>
      </c>
    </row>
    <row r="589" spans="1:30" x14ac:dyDescent="0.3">
      <c r="A589">
        <v>303745</v>
      </c>
      <c r="B589">
        <v>303745</v>
      </c>
      <c r="C589">
        <v>1</v>
      </c>
      <c r="D589" t="s">
        <v>1132</v>
      </c>
      <c r="E589" t="s">
        <v>1132</v>
      </c>
      <c r="F589" t="s">
        <v>629</v>
      </c>
      <c r="G589" t="s">
        <v>629</v>
      </c>
      <c r="H589" t="s">
        <v>39</v>
      </c>
      <c r="I589" t="s">
        <v>40</v>
      </c>
      <c r="J589" t="s">
        <v>41</v>
      </c>
      <c r="K589">
        <v>0</v>
      </c>
      <c r="L589">
        <v>0</v>
      </c>
      <c r="M589">
        <v>0</v>
      </c>
      <c r="N589">
        <v>0.50946999999999998</v>
      </c>
      <c r="O589">
        <v>131.63355819674001</v>
      </c>
      <c r="P589" t="s">
        <v>41</v>
      </c>
      <c r="Q589">
        <v>0</v>
      </c>
      <c r="R589" t="s">
        <v>50</v>
      </c>
      <c r="S589">
        <v>2002</v>
      </c>
      <c r="T589" t="s">
        <v>40</v>
      </c>
      <c r="U589" t="s">
        <v>40</v>
      </c>
      <c r="V589" t="s">
        <v>40</v>
      </c>
      <c r="W589" t="s">
        <v>40</v>
      </c>
      <c r="X589" t="s">
        <v>41</v>
      </c>
      <c r="Y589" t="s">
        <v>41</v>
      </c>
      <c r="Z589" t="s">
        <v>43</v>
      </c>
      <c r="AA589">
        <v>1829</v>
      </c>
      <c r="AB589" t="s">
        <v>1092</v>
      </c>
      <c r="AC589" t="s">
        <v>840</v>
      </c>
      <c r="AD589" t="s">
        <v>840</v>
      </c>
    </row>
    <row r="590" spans="1:30" x14ac:dyDescent="0.3">
      <c r="A590">
        <v>303773</v>
      </c>
      <c r="B590">
        <v>303773</v>
      </c>
      <c r="C590">
        <v>1</v>
      </c>
      <c r="D590" t="s">
        <v>1133</v>
      </c>
      <c r="E590" t="s">
        <v>1133</v>
      </c>
      <c r="F590" t="s">
        <v>629</v>
      </c>
      <c r="G590" t="s">
        <v>629</v>
      </c>
      <c r="H590" t="s">
        <v>39</v>
      </c>
      <c r="I590" t="s">
        <v>40</v>
      </c>
      <c r="J590" t="s">
        <v>41</v>
      </c>
      <c r="K590">
        <v>0</v>
      </c>
      <c r="L590">
        <v>0</v>
      </c>
      <c r="M590">
        <v>0</v>
      </c>
      <c r="N590">
        <v>0.70256070000000004</v>
      </c>
      <c r="O590">
        <v>181.51635210574599</v>
      </c>
      <c r="P590" t="s">
        <v>41</v>
      </c>
      <c r="Q590">
        <v>0</v>
      </c>
      <c r="R590" t="s">
        <v>50</v>
      </c>
      <c r="S590">
        <v>2002</v>
      </c>
      <c r="T590" t="s">
        <v>40</v>
      </c>
      <c r="U590" t="s">
        <v>40</v>
      </c>
      <c r="V590" t="s">
        <v>40</v>
      </c>
      <c r="W590" t="s">
        <v>40</v>
      </c>
      <c r="X590" t="s">
        <v>41</v>
      </c>
      <c r="Y590" t="s">
        <v>41</v>
      </c>
      <c r="Z590" t="s">
        <v>43</v>
      </c>
      <c r="AA590">
        <v>1829</v>
      </c>
      <c r="AB590" t="s">
        <v>1092</v>
      </c>
      <c r="AC590" t="s">
        <v>840</v>
      </c>
      <c r="AD590" t="s">
        <v>840</v>
      </c>
    </row>
    <row r="591" spans="1:30" x14ac:dyDescent="0.3">
      <c r="A591">
        <v>303795</v>
      </c>
      <c r="B591">
        <v>303795</v>
      </c>
      <c r="C591">
        <v>1</v>
      </c>
      <c r="D591" t="s">
        <v>1134</v>
      </c>
      <c r="E591" t="s">
        <v>1134</v>
      </c>
      <c r="F591" t="s">
        <v>629</v>
      </c>
      <c r="G591" t="s">
        <v>629</v>
      </c>
      <c r="H591" t="s">
        <v>39</v>
      </c>
      <c r="I591" t="s">
        <v>40</v>
      </c>
      <c r="J591" t="s">
        <v>41</v>
      </c>
      <c r="K591">
        <v>0</v>
      </c>
      <c r="L591">
        <v>0</v>
      </c>
      <c r="M591">
        <v>0</v>
      </c>
      <c r="N591">
        <v>1.4499120000000001</v>
      </c>
      <c r="O591">
        <v>663.54599938224101</v>
      </c>
      <c r="P591" t="s">
        <v>41</v>
      </c>
      <c r="Q591">
        <v>0</v>
      </c>
      <c r="R591" t="s">
        <v>50</v>
      </c>
      <c r="S591">
        <v>2002</v>
      </c>
      <c r="T591" t="s">
        <v>40</v>
      </c>
      <c r="U591" t="s">
        <v>40</v>
      </c>
      <c r="V591" t="s">
        <v>40</v>
      </c>
      <c r="W591" t="s">
        <v>40</v>
      </c>
      <c r="X591" t="s">
        <v>41</v>
      </c>
      <c r="Y591" t="s">
        <v>41</v>
      </c>
      <c r="Z591" t="s">
        <v>43</v>
      </c>
      <c r="AA591">
        <v>1829</v>
      </c>
      <c r="AB591" t="s">
        <v>1135</v>
      </c>
      <c r="AC591" t="s">
        <v>840</v>
      </c>
      <c r="AD591" t="s">
        <v>840</v>
      </c>
    </row>
    <row r="592" spans="1:30" x14ac:dyDescent="0.3">
      <c r="A592">
        <v>303810</v>
      </c>
      <c r="B592">
        <v>303810</v>
      </c>
      <c r="C592">
        <v>1</v>
      </c>
      <c r="D592" t="s">
        <v>1136</v>
      </c>
      <c r="E592" t="s">
        <v>1136</v>
      </c>
      <c r="F592" t="s">
        <v>629</v>
      </c>
      <c r="G592" t="s">
        <v>629</v>
      </c>
      <c r="H592" t="s">
        <v>39</v>
      </c>
      <c r="I592" t="s">
        <v>40</v>
      </c>
      <c r="J592" t="s">
        <v>41</v>
      </c>
      <c r="K592">
        <v>0</v>
      </c>
      <c r="L592">
        <v>0</v>
      </c>
      <c r="M592">
        <v>0</v>
      </c>
      <c r="N592">
        <v>1.551682</v>
      </c>
      <c r="O592">
        <v>401.02206888801902</v>
      </c>
      <c r="P592" t="s">
        <v>41</v>
      </c>
      <c r="Q592">
        <v>0</v>
      </c>
      <c r="R592" t="s">
        <v>50</v>
      </c>
      <c r="S592">
        <v>2002</v>
      </c>
      <c r="T592" t="s">
        <v>40</v>
      </c>
      <c r="U592" t="s">
        <v>40</v>
      </c>
      <c r="V592" t="s">
        <v>40</v>
      </c>
      <c r="W592" t="s">
        <v>40</v>
      </c>
      <c r="X592" t="s">
        <v>41</v>
      </c>
      <c r="Y592" t="s">
        <v>41</v>
      </c>
      <c r="Z592" t="s">
        <v>43</v>
      </c>
      <c r="AA592">
        <v>1829</v>
      </c>
      <c r="AB592" t="s">
        <v>1092</v>
      </c>
      <c r="AC592" t="s">
        <v>840</v>
      </c>
      <c r="AD592" t="s">
        <v>840</v>
      </c>
    </row>
    <row r="593" spans="1:30" x14ac:dyDescent="0.3">
      <c r="A593">
        <v>303818</v>
      </c>
      <c r="B593">
        <v>303818</v>
      </c>
      <c r="C593">
        <v>1</v>
      </c>
      <c r="D593" t="s">
        <v>1137</v>
      </c>
      <c r="E593" t="s">
        <v>1137</v>
      </c>
      <c r="F593" t="s">
        <v>629</v>
      </c>
      <c r="G593" t="s">
        <v>629</v>
      </c>
      <c r="H593" t="s">
        <v>39</v>
      </c>
      <c r="I593" t="s">
        <v>40</v>
      </c>
      <c r="J593" t="s">
        <v>41</v>
      </c>
      <c r="K593">
        <v>0</v>
      </c>
      <c r="L593">
        <v>0</v>
      </c>
      <c r="M593">
        <v>0</v>
      </c>
      <c r="N593">
        <v>0.70901760000000003</v>
      </c>
      <c r="O593">
        <v>183.119984243435</v>
      </c>
      <c r="P593" t="s">
        <v>41</v>
      </c>
      <c r="Q593">
        <v>0</v>
      </c>
      <c r="R593" t="s">
        <v>50</v>
      </c>
      <c r="S593">
        <v>2002</v>
      </c>
      <c r="T593" t="s">
        <v>40</v>
      </c>
      <c r="U593" t="s">
        <v>40</v>
      </c>
      <c r="V593" t="s">
        <v>40</v>
      </c>
      <c r="W593" t="s">
        <v>40</v>
      </c>
      <c r="X593" t="s">
        <v>41</v>
      </c>
      <c r="Y593" t="s">
        <v>41</v>
      </c>
      <c r="Z593" t="s">
        <v>43</v>
      </c>
      <c r="AA593">
        <v>1829</v>
      </c>
      <c r="AB593" t="s">
        <v>1096</v>
      </c>
      <c r="AC593" t="s">
        <v>840</v>
      </c>
      <c r="AD593" t="s">
        <v>840</v>
      </c>
    </row>
    <row r="594" spans="1:30" x14ac:dyDescent="0.3">
      <c r="A594">
        <v>555751346</v>
      </c>
      <c r="B594">
        <v>555751346</v>
      </c>
      <c r="C594">
        <v>1</v>
      </c>
      <c r="D594" t="s">
        <v>1138</v>
      </c>
      <c r="E594" t="s">
        <v>1138</v>
      </c>
      <c r="F594" t="s">
        <v>805</v>
      </c>
      <c r="G594" t="s">
        <v>805</v>
      </c>
      <c r="H594" t="s">
        <v>39</v>
      </c>
      <c r="I594" t="s">
        <v>40</v>
      </c>
      <c r="J594" t="s">
        <v>41</v>
      </c>
      <c r="K594">
        <v>0</v>
      </c>
      <c r="L594">
        <v>0</v>
      </c>
      <c r="M594">
        <v>0</v>
      </c>
      <c r="N594">
        <v>0</v>
      </c>
      <c r="O594">
        <v>3523.9659624524702</v>
      </c>
      <c r="P594" t="s">
        <v>41</v>
      </c>
      <c r="Q594">
        <v>0</v>
      </c>
      <c r="R594" t="s">
        <v>50</v>
      </c>
      <c r="S594">
        <v>0</v>
      </c>
      <c r="T594" t="s">
        <v>40</v>
      </c>
      <c r="U594" t="s">
        <v>40</v>
      </c>
      <c r="V594" t="s">
        <v>40</v>
      </c>
      <c r="W594" t="s">
        <v>40</v>
      </c>
      <c r="X594" t="s">
        <v>41</v>
      </c>
      <c r="Y594" t="s">
        <v>41</v>
      </c>
      <c r="Z594" t="s">
        <v>43</v>
      </c>
      <c r="AA594">
        <v>1829</v>
      </c>
      <c r="AB594" t="s">
        <v>839</v>
      </c>
      <c r="AC594" t="s">
        <v>840</v>
      </c>
      <c r="AD594" t="s">
        <v>840</v>
      </c>
    </row>
    <row r="595" spans="1:30" x14ac:dyDescent="0.3">
      <c r="A595">
        <v>95356</v>
      </c>
      <c r="B595">
        <v>95356</v>
      </c>
      <c r="C595">
        <v>1</v>
      </c>
      <c r="D595" t="s">
        <v>1139</v>
      </c>
      <c r="E595" t="s">
        <v>1139</v>
      </c>
      <c r="F595" t="s">
        <v>116</v>
      </c>
      <c r="G595" t="s">
        <v>116</v>
      </c>
      <c r="H595" t="s">
        <v>82</v>
      </c>
      <c r="I595" t="s">
        <v>40</v>
      </c>
      <c r="J595" t="s">
        <v>40</v>
      </c>
      <c r="K595">
        <v>0</v>
      </c>
      <c r="L595">
        <v>0</v>
      </c>
      <c r="M595">
        <v>0</v>
      </c>
      <c r="N595">
        <v>6000</v>
      </c>
      <c r="O595">
        <v>15229.441738052599</v>
      </c>
      <c r="P595" t="s">
        <v>41</v>
      </c>
      <c r="Q595">
        <v>0</v>
      </c>
      <c r="R595" t="s">
        <v>50</v>
      </c>
      <c r="S595">
        <v>1995</v>
      </c>
      <c r="T595" t="s">
        <v>66</v>
      </c>
      <c r="U595" t="s">
        <v>40</v>
      </c>
      <c r="V595" t="s">
        <v>40</v>
      </c>
      <c r="W595" t="s">
        <v>40</v>
      </c>
      <c r="X595" t="s">
        <v>41</v>
      </c>
      <c r="Y595" t="s">
        <v>41</v>
      </c>
      <c r="Z595" t="s">
        <v>43</v>
      </c>
      <c r="AA595">
        <v>1856</v>
      </c>
      <c r="AB595" t="s">
        <v>1140</v>
      </c>
      <c r="AC595" t="s">
        <v>1141</v>
      </c>
      <c r="AD595" t="s">
        <v>1141</v>
      </c>
    </row>
    <row r="596" spans="1:30" x14ac:dyDescent="0.3">
      <c r="A596">
        <v>37009</v>
      </c>
      <c r="B596">
        <v>37009</v>
      </c>
      <c r="C596">
        <v>1</v>
      </c>
      <c r="D596" t="s">
        <v>1142</v>
      </c>
      <c r="E596" t="s">
        <v>1142</v>
      </c>
      <c r="F596" t="s">
        <v>102</v>
      </c>
      <c r="G596" t="s">
        <v>102</v>
      </c>
      <c r="H596" t="s">
        <v>39</v>
      </c>
      <c r="I596" t="s">
        <v>40</v>
      </c>
      <c r="J596" t="s">
        <v>41</v>
      </c>
      <c r="K596">
        <v>0</v>
      </c>
      <c r="L596">
        <v>0</v>
      </c>
      <c r="M596">
        <v>0</v>
      </c>
      <c r="N596">
        <v>0</v>
      </c>
      <c r="O596">
        <v>166.63974317848499</v>
      </c>
      <c r="P596" t="s">
        <v>41</v>
      </c>
      <c r="Q596">
        <v>0</v>
      </c>
      <c r="R596" t="s">
        <v>50</v>
      </c>
      <c r="S596">
        <v>0</v>
      </c>
      <c r="T596" t="s">
        <v>373</v>
      </c>
      <c r="U596" t="s">
        <v>40</v>
      </c>
      <c r="V596" t="s">
        <v>40</v>
      </c>
      <c r="W596" t="s">
        <v>40</v>
      </c>
      <c r="X596" t="s">
        <v>41</v>
      </c>
      <c r="Y596" t="s">
        <v>41</v>
      </c>
      <c r="Z596" t="s">
        <v>43</v>
      </c>
      <c r="AA596">
        <v>213</v>
      </c>
      <c r="AB596" t="s">
        <v>1143</v>
      </c>
      <c r="AC596" t="s">
        <v>440</v>
      </c>
      <c r="AD596" t="s">
        <v>440</v>
      </c>
    </row>
    <row r="597" spans="1:30" x14ac:dyDescent="0.3">
      <c r="A597">
        <v>20399</v>
      </c>
      <c r="B597">
        <v>20399</v>
      </c>
      <c r="C597">
        <v>1</v>
      </c>
      <c r="D597" t="s">
        <v>1144</v>
      </c>
      <c r="E597" t="s">
        <v>1145</v>
      </c>
      <c r="F597" t="s">
        <v>480</v>
      </c>
      <c r="G597" t="s">
        <v>480</v>
      </c>
      <c r="H597" t="s">
        <v>82</v>
      </c>
      <c r="I597" t="s">
        <v>41</v>
      </c>
      <c r="J597" t="s">
        <v>139</v>
      </c>
      <c r="K597">
        <v>0</v>
      </c>
      <c r="L597">
        <v>0</v>
      </c>
      <c r="M597">
        <v>0</v>
      </c>
      <c r="N597">
        <v>68.599999999999895</v>
      </c>
      <c r="O597">
        <v>77.146930725829606</v>
      </c>
      <c r="P597" t="s">
        <v>41</v>
      </c>
      <c r="Q597">
        <v>0</v>
      </c>
      <c r="R597" t="s">
        <v>482</v>
      </c>
      <c r="S597">
        <v>1989</v>
      </c>
      <c r="T597" t="s">
        <v>40</v>
      </c>
      <c r="U597" t="s">
        <v>40</v>
      </c>
      <c r="V597" t="s">
        <v>40</v>
      </c>
      <c r="W597" t="s">
        <v>40</v>
      </c>
      <c r="X597" t="s">
        <v>41</v>
      </c>
      <c r="Y597" t="s">
        <v>41</v>
      </c>
      <c r="Z597" t="s">
        <v>43</v>
      </c>
      <c r="AA597">
        <v>946</v>
      </c>
      <c r="AB597" t="s">
        <v>1146</v>
      </c>
      <c r="AC597" t="s">
        <v>1147</v>
      </c>
      <c r="AD597" t="s">
        <v>1147</v>
      </c>
    </row>
    <row r="598" spans="1:30" x14ac:dyDescent="0.3">
      <c r="A598">
        <v>29638</v>
      </c>
      <c r="B598">
        <v>29638</v>
      </c>
      <c r="C598">
        <v>1</v>
      </c>
      <c r="D598" t="s">
        <v>1148</v>
      </c>
      <c r="E598" t="s">
        <v>1148</v>
      </c>
      <c r="F598" t="s">
        <v>55</v>
      </c>
      <c r="G598" t="s">
        <v>55</v>
      </c>
      <c r="H598" t="s">
        <v>39</v>
      </c>
      <c r="I598" t="s">
        <v>40</v>
      </c>
      <c r="J598" t="s">
        <v>41</v>
      </c>
      <c r="K598">
        <v>0</v>
      </c>
      <c r="L598">
        <v>0</v>
      </c>
      <c r="M598">
        <v>0</v>
      </c>
      <c r="N598">
        <v>2042</v>
      </c>
      <c r="O598">
        <v>1608.6194491773499</v>
      </c>
      <c r="P598" t="s">
        <v>41</v>
      </c>
      <c r="Q598">
        <v>0</v>
      </c>
      <c r="R598" t="s">
        <v>50</v>
      </c>
      <c r="S598">
        <v>0</v>
      </c>
      <c r="T598" t="s">
        <v>40</v>
      </c>
      <c r="U598" t="s">
        <v>40</v>
      </c>
      <c r="V598" t="s">
        <v>40</v>
      </c>
      <c r="W598" t="s">
        <v>40</v>
      </c>
      <c r="X598" t="s">
        <v>41</v>
      </c>
      <c r="Y598" t="s">
        <v>41</v>
      </c>
      <c r="Z598" t="s">
        <v>43</v>
      </c>
      <c r="AA598">
        <v>1826</v>
      </c>
      <c r="AB598" t="s">
        <v>917</v>
      </c>
      <c r="AC598" t="s">
        <v>486</v>
      </c>
      <c r="AD598" t="s">
        <v>486</v>
      </c>
    </row>
    <row r="599" spans="1:30" x14ac:dyDescent="0.3">
      <c r="A599">
        <v>29640</v>
      </c>
      <c r="B599">
        <v>29640</v>
      </c>
      <c r="C599">
        <v>1</v>
      </c>
      <c r="D599" t="s">
        <v>1149</v>
      </c>
      <c r="E599" t="s">
        <v>1149</v>
      </c>
      <c r="F599" t="s">
        <v>55</v>
      </c>
      <c r="G599" t="s">
        <v>55</v>
      </c>
      <c r="H599" t="s">
        <v>39</v>
      </c>
      <c r="I599" t="s">
        <v>40</v>
      </c>
      <c r="J599" t="s">
        <v>41</v>
      </c>
      <c r="K599">
        <v>0</v>
      </c>
      <c r="L599">
        <v>0</v>
      </c>
      <c r="M599">
        <v>3.62096890625266</v>
      </c>
      <c r="N599">
        <v>350</v>
      </c>
      <c r="O599">
        <v>326.13573921620502</v>
      </c>
      <c r="P599" t="s">
        <v>41</v>
      </c>
      <c r="Q599">
        <v>0</v>
      </c>
      <c r="R599" t="s">
        <v>50</v>
      </c>
      <c r="S599">
        <v>0</v>
      </c>
      <c r="T599" t="s">
        <v>40</v>
      </c>
      <c r="U599" t="s">
        <v>40</v>
      </c>
      <c r="V599" t="s">
        <v>40</v>
      </c>
      <c r="W599" t="s">
        <v>40</v>
      </c>
      <c r="X599" t="s">
        <v>41</v>
      </c>
      <c r="Y599" t="s">
        <v>41</v>
      </c>
      <c r="Z599" t="s">
        <v>43</v>
      </c>
      <c r="AA599">
        <v>1826</v>
      </c>
      <c r="AB599" t="s">
        <v>917</v>
      </c>
      <c r="AC599" t="s">
        <v>486</v>
      </c>
      <c r="AD599" t="s">
        <v>486</v>
      </c>
    </row>
    <row r="600" spans="1:30" x14ac:dyDescent="0.3">
      <c r="A600">
        <v>300966</v>
      </c>
      <c r="B600">
        <v>300966</v>
      </c>
      <c r="C600">
        <v>1</v>
      </c>
      <c r="D600" t="s">
        <v>1150</v>
      </c>
      <c r="E600" t="s">
        <v>1150</v>
      </c>
      <c r="F600" t="s">
        <v>55</v>
      </c>
      <c r="G600" t="s">
        <v>55</v>
      </c>
      <c r="H600" t="s">
        <v>39</v>
      </c>
      <c r="I600" t="s">
        <v>40</v>
      </c>
      <c r="J600" t="s">
        <v>41</v>
      </c>
      <c r="K600">
        <v>0</v>
      </c>
      <c r="L600">
        <v>0</v>
      </c>
      <c r="M600">
        <v>0.17592054058551901</v>
      </c>
      <c r="N600">
        <v>0</v>
      </c>
      <c r="O600">
        <v>135.76408884429401</v>
      </c>
      <c r="P600" t="s">
        <v>41</v>
      </c>
      <c r="Q600">
        <v>0</v>
      </c>
      <c r="R600" t="s">
        <v>50</v>
      </c>
      <c r="S600">
        <v>0</v>
      </c>
      <c r="T600" t="s">
        <v>40</v>
      </c>
      <c r="U600" t="s">
        <v>40</v>
      </c>
      <c r="V600" t="s">
        <v>40</v>
      </c>
      <c r="W600" t="s">
        <v>40</v>
      </c>
      <c r="X600" t="s">
        <v>41</v>
      </c>
      <c r="Y600" t="s">
        <v>41</v>
      </c>
      <c r="Z600" t="s">
        <v>43</v>
      </c>
      <c r="AA600">
        <v>1826</v>
      </c>
      <c r="AB600" t="s">
        <v>917</v>
      </c>
      <c r="AC600" t="s">
        <v>486</v>
      </c>
      <c r="AD600" t="s">
        <v>486</v>
      </c>
    </row>
    <row r="601" spans="1:30" x14ac:dyDescent="0.3">
      <c r="A601">
        <v>555543018</v>
      </c>
      <c r="B601">
        <v>555543018</v>
      </c>
      <c r="C601">
        <v>1</v>
      </c>
      <c r="D601" t="s">
        <v>1151</v>
      </c>
      <c r="E601" t="s">
        <v>1151</v>
      </c>
      <c r="F601" t="s">
        <v>123</v>
      </c>
      <c r="G601" t="s">
        <v>123</v>
      </c>
      <c r="H601" t="s">
        <v>39</v>
      </c>
      <c r="I601" t="s">
        <v>40</v>
      </c>
      <c r="J601" t="s">
        <v>41</v>
      </c>
      <c r="K601">
        <v>0</v>
      </c>
      <c r="L601">
        <v>0</v>
      </c>
      <c r="M601">
        <v>0.41217355536497502</v>
      </c>
      <c r="N601">
        <v>8176</v>
      </c>
      <c r="O601">
        <v>8179.7235525113601</v>
      </c>
      <c r="P601" t="s">
        <v>41</v>
      </c>
      <c r="Q601">
        <v>0</v>
      </c>
      <c r="R601" t="s">
        <v>50</v>
      </c>
      <c r="S601">
        <v>2010</v>
      </c>
      <c r="T601" t="s">
        <v>66</v>
      </c>
      <c r="U601" t="s">
        <v>40</v>
      </c>
      <c r="V601" t="s">
        <v>40</v>
      </c>
      <c r="W601" t="s">
        <v>40</v>
      </c>
      <c r="X601" t="s">
        <v>41</v>
      </c>
      <c r="Y601" t="s">
        <v>41</v>
      </c>
      <c r="Z601" t="s">
        <v>43</v>
      </c>
      <c r="AA601">
        <v>1821</v>
      </c>
      <c r="AB601" t="s">
        <v>1152</v>
      </c>
      <c r="AC601" t="s">
        <v>1141</v>
      </c>
      <c r="AD601" t="s">
        <v>1141</v>
      </c>
    </row>
    <row r="602" spans="1:30" x14ac:dyDescent="0.3">
      <c r="A602">
        <v>7744</v>
      </c>
      <c r="B602">
        <v>7744</v>
      </c>
      <c r="C602">
        <v>1</v>
      </c>
      <c r="D602" t="s">
        <v>1153</v>
      </c>
      <c r="E602" t="s">
        <v>1153</v>
      </c>
      <c r="F602" t="s">
        <v>102</v>
      </c>
      <c r="G602" t="s">
        <v>102</v>
      </c>
      <c r="H602" t="s">
        <v>39</v>
      </c>
      <c r="I602" t="s">
        <v>40</v>
      </c>
      <c r="J602" t="s">
        <v>41</v>
      </c>
      <c r="K602">
        <v>0</v>
      </c>
      <c r="L602">
        <v>0</v>
      </c>
      <c r="M602">
        <v>0</v>
      </c>
      <c r="N602">
        <v>40.020000000000003</v>
      </c>
      <c r="O602">
        <v>39.840841287582101</v>
      </c>
      <c r="P602" t="s">
        <v>41</v>
      </c>
      <c r="Q602">
        <v>0</v>
      </c>
      <c r="R602" t="s">
        <v>50</v>
      </c>
      <c r="S602">
        <v>1962</v>
      </c>
      <c r="T602" t="s">
        <v>66</v>
      </c>
      <c r="U602" t="s">
        <v>51</v>
      </c>
      <c r="V602" t="s">
        <v>493</v>
      </c>
      <c r="W602" t="s">
        <v>40</v>
      </c>
      <c r="X602" t="s">
        <v>41</v>
      </c>
      <c r="Y602" t="s">
        <v>41</v>
      </c>
      <c r="Z602" t="s">
        <v>43</v>
      </c>
      <c r="AA602">
        <v>178</v>
      </c>
      <c r="AB602" t="s">
        <v>40</v>
      </c>
      <c r="AC602" t="s">
        <v>87</v>
      </c>
      <c r="AD602" t="s">
        <v>87</v>
      </c>
    </row>
    <row r="603" spans="1:30" x14ac:dyDescent="0.3">
      <c r="A603">
        <v>555542920</v>
      </c>
      <c r="B603">
        <v>555542920</v>
      </c>
      <c r="C603">
        <v>1</v>
      </c>
      <c r="D603" t="s">
        <v>1154</v>
      </c>
      <c r="E603" t="s">
        <v>1154</v>
      </c>
      <c r="F603" t="s">
        <v>1155</v>
      </c>
      <c r="G603" t="s">
        <v>1155</v>
      </c>
      <c r="H603" t="s">
        <v>39</v>
      </c>
      <c r="I603" t="s">
        <v>40</v>
      </c>
      <c r="J603" t="s">
        <v>41</v>
      </c>
      <c r="K603">
        <v>0</v>
      </c>
      <c r="L603">
        <v>0</v>
      </c>
      <c r="M603">
        <v>0</v>
      </c>
      <c r="N603">
        <v>150.569999999999</v>
      </c>
      <c r="O603">
        <v>150.59636942202499</v>
      </c>
      <c r="P603" t="s">
        <v>41</v>
      </c>
      <c r="Q603">
        <v>0</v>
      </c>
      <c r="R603" t="s">
        <v>50</v>
      </c>
      <c r="S603">
        <v>1999</v>
      </c>
      <c r="T603" t="s">
        <v>630</v>
      </c>
      <c r="U603" t="s">
        <v>40</v>
      </c>
      <c r="V603" t="s">
        <v>40</v>
      </c>
      <c r="W603" t="s">
        <v>40</v>
      </c>
      <c r="X603" t="s">
        <v>41</v>
      </c>
      <c r="Y603" t="s">
        <v>41</v>
      </c>
      <c r="Z603" t="s">
        <v>43</v>
      </c>
      <c r="AA603">
        <v>1821</v>
      </c>
      <c r="AB603" t="s">
        <v>1156</v>
      </c>
      <c r="AC603" t="s">
        <v>1141</v>
      </c>
      <c r="AD603" t="s">
        <v>1141</v>
      </c>
    </row>
    <row r="604" spans="1:30" x14ac:dyDescent="0.3">
      <c r="A604">
        <v>555542913</v>
      </c>
      <c r="B604">
        <v>555542913</v>
      </c>
      <c r="C604">
        <v>1</v>
      </c>
      <c r="D604" t="s">
        <v>1157</v>
      </c>
      <c r="E604" t="s">
        <v>1157</v>
      </c>
      <c r="F604" t="s">
        <v>1155</v>
      </c>
      <c r="G604" t="s">
        <v>1155</v>
      </c>
      <c r="H604" t="s">
        <v>39</v>
      </c>
      <c r="I604" t="s">
        <v>40</v>
      </c>
      <c r="J604" t="s">
        <v>41</v>
      </c>
      <c r="K604">
        <v>0</v>
      </c>
      <c r="L604">
        <v>0</v>
      </c>
      <c r="M604">
        <v>0</v>
      </c>
      <c r="N604">
        <v>296.76999999999902</v>
      </c>
      <c r="O604">
        <v>437.83248231880401</v>
      </c>
      <c r="P604" t="s">
        <v>41</v>
      </c>
      <c r="Q604">
        <v>0</v>
      </c>
      <c r="R604" t="s">
        <v>50</v>
      </c>
      <c r="S604">
        <v>2003</v>
      </c>
      <c r="T604" t="s">
        <v>630</v>
      </c>
      <c r="U604" t="s">
        <v>40</v>
      </c>
      <c r="V604" t="s">
        <v>40</v>
      </c>
      <c r="W604" t="s">
        <v>40</v>
      </c>
      <c r="X604" t="s">
        <v>41</v>
      </c>
      <c r="Y604" t="s">
        <v>41</v>
      </c>
      <c r="Z604" t="s">
        <v>43</v>
      </c>
      <c r="AA604">
        <v>1821</v>
      </c>
      <c r="AB604" t="s">
        <v>1156</v>
      </c>
      <c r="AC604" t="s">
        <v>1141</v>
      </c>
      <c r="AD604" t="s">
        <v>1141</v>
      </c>
    </row>
    <row r="605" spans="1:30" x14ac:dyDescent="0.3">
      <c r="A605">
        <v>555542918</v>
      </c>
      <c r="B605">
        <v>555542918</v>
      </c>
      <c r="C605">
        <v>1</v>
      </c>
      <c r="D605" t="s">
        <v>1158</v>
      </c>
      <c r="E605" t="s">
        <v>1158</v>
      </c>
      <c r="F605" t="s">
        <v>1155</v>
      </c>
      <c r="G605" t="s">
        <v>1155</v>
      </c>
      <c r="H605" t="s">
        <v>39</v>
      </c>
      <c r="I605" t="s">
        <v>40</v>
      </c>
      <c r="J605" t="s">
        <v>41</v>
      </c>
      <c r="K605">
        <v>0</v>
      </c>
      <c r="L605">
        <v>0</v>
      </c>
      <c r="M605">
        <v>0</v>
      </c>
      <c r="N605">
        <v>189.52</v>
      </c>
      <c r="O605">
        <v>189.55907990391901</v>
      </c>
      <c r="P605" t="s">
        <v>41</v>
      </c>
      <c r="Q605">
        <v>0</v>
      </c>
      <c r="R605" t="s">
        <v>50</v>
      </c>
      <c r="S605">
        <v>1999</v>
      </c>
      <c r="T605" t="s">
        <v>630</v>
      </c>
      <c r="U605" t="s">
        <v>40</v>
      </c>
      <c r="V605" t="s">
        <v>40</v>
      </c>
      <c r="W605" t="s">
        <v>40</v>
      </c>
      <c r="X605" t="s">
        <v>41</v>
      </c>
      <c r="Y605" t="s">
        <v>41</v>
      </c>
      <c r="Z605" t="s">
        <v>43</v>
      </c>
      <c r="AA605">
        <v>1821</v>
      </c>
      <c r="AB605" t="s">
        <v>1156</v>
      </c>
      <c r="AC605" t="s">
        <v>1141</v>
      </c>
      <c r="AD605" t="s">
        <v>1141</v>
      </c>
    </row>
    <row r="606" spans="1:30" x14ac:dyDescent="0.3">
      <c r="A606">
        <v>555542926</v>
      </c>
      <c r="B606">
        <v>555542926</v>
      </c>
      <c r="C606">
        <v>1</v>
      </c>
      <c r="D606" t="s">
        <v>1159</v>
      </c>
      <c r="E606" t="s">
        <v>1159</v>
      </c>
      <c r="F606" t="s">
        <v>1155</v>
      </c>
      <c r="G606" t="s">
        <v>1155</v>
      </c>
      <c r="H606" t="s">
        <v>39</v>
      </c>
      <c r="I606" t="s">
        <v>40</v>
      </c>
      <c r="J606" t="s">
        <v>41</v>
      </c>
      <c r="K606">
        <v>0</v>
      </c>
      <c r="L606">
        <v>0</v>
      </c>
      <c r="M606">
        <v>0</v>
      </c>
      <c r="N606">
        <v>1747.75</v>
      </c>
      <c r="O606">
        <v>1748.1727871778501</v>
      </c>
      <c r="P606" t="s">
        <v>41</v>
      </c>
      <c r="Q606">
        <v>0</v>
      </c>
      <c r="R606" t="s">
        <v>50</v>
      </c>
      <c r="S606">
        <v>2003</v>
      </c>
      <c r="T606" t="s">
        <v>630</v>
      </c>
      <c r="U606" t="s">
        <v>40</v>
      </c>
      <c r="V606" t="s">
        <v>40</v>
      </c>
      <c r="W606" t="s">
        <v>40</v>
      </c>
      <c r="X606" t="s">
        <v>41</v>
      </c>
      <c r="Y606" t="s">
        <v>41</v>
      </c>
      <c r="Z606" t="s">
        <v>43</v>
      </c>
      <c r="AA606">
        <v>1821</v>
      </c>
      <c r="AB606" t="s">
        <v>1160</v>
      </c>
      <c r="AC606" t="s">
        <v>1141</v>
      </c>
      <c r="AD606" t="s">
        <v>1141</v>
      </c>
    </row>
    <row r="607" spans="1:30" x14ac:dyDescent="0.3">
      <c r="A607">
        <v>555542940</v>
      </c>
      <c r="B607">
        <v>555542940</v>
      </c>
      <c r="C607">
        <v>1</v>
      </c>
      <c r="D607" t="s">
        <v>1161</v>
      </c>
      <c r="E607" t="s">
        <v>1161</v>
      </c>
      <c r="F607" t="s">
        <v>1155</v>
      </c>
      <c r="G607" t="s">
        <v>1155</v>
      </c>
      <c r="H607" t="s">
        <v>39</v>
      </c>
      <c r="I607" t="s">
        <v>40</v>
      </c>
      <c r="J607" t="s">
        <v>41</v>
      </c>
      <c r="K607">
        <v>0</v>
      </c>
      <c r="L607">
        <v>0</v>
      </c>
      <c r="M607">
        <v>0</v>
      </c>
      <c r="N607">
        <v>2747.4</v>
      </c>
      <c r="O607">
        <v>2748.0542956115501</v>
      </c>
      <c r="P607" t="s">
        <v>41</v>
      </c>
      <c r="Q607">
        <v>0</v>
      </c>
      <c r="R607" t="s">
        <v>50</v>
      </c>
      <c r="S607">
        <v>2003</v>
      </c>
      <c r="T607" t="s">
        <v>630</v>
      </c>
      <c r="U607" t="s">
        <v>40</v>
      </c>
      <c r="V607" t="s">
        <v>40</v>
      </c>
      <c r="W607" t="s">
        <v>40</v>
      </c>
      <c r="X607" t="s">
        <v>41</v>
      </c>
      <c r="Y607" t="s">
        <v>41</v>
      </c>
      <c r="Z607" t="s">
        <v>43</v>
      </c>
      <c r="AA607">
        <v>1821</v>
      </c>
      <c r="AB607" t="s">
        <v>1160</v>
      </c>
      <c r="AC607" t="s">
        <v>1141</v>
      </c>
      <c r="AD607" t="s">
        <v>1141</v>
      </c>
    </row>
    <row r="608" spans="1:30" x14ac:dyDescent="0.3">
      <c r="A608">
        <v>555542936</v>
      </c>
      <c r="B608">
        <v>555542936</v>
      </c>
      <c r="C608">
        <v>1</v>
      </c>
      <c r="D608" t="s">
        <v>1162</v>
      </c>
      <c r="E608" t="s">
        <v>1162</v>
      </c>
      <c r="F608" t="s">
        <v>1155</v>
      </c>
      <c r="G608" t="s">
        <v>1155</v>
      </c>
      <c r="H608" t="s">
        <v>39</v>
      </c>
      <c r="I608" t="s">
        <v>40</v>
      </c>
      <c r="J608" t="s">
        <v>41</v>
      </c>
      <c r="K608">
        <v>0</v>
      </c>
      <c r="L608">
        <v>0</v>
      </c>
      <c r="M608">
        <v>0</v>
      </c>
      <c r="N608">
        <v>42.909999999999897</v>
      </c>
      <c r="O608">
        <v>42.915649809440303</v>
      </c>
      <c r="P608" t="s">
        <v>41</v>
      </c>
      <c r="Q608">
        <v>0</v>
      </c>
      <c r="R608" t="s">
        <v>50</v>
      </c>
      <c r="S608">
        <v>2004</v>
      </c>
      <c r="T608" t="s">
        <v>630</v>
      </c>
      <c r="U608" t="s">
        <v>40</v>
      </c>
      <c r="V608" t="s">
        <v>40</v>
      </c>
      <c r="W608" t="s">
        <v>40</v>
      </c>
      <c r="X608" t="s">
        <v>41</v>
      </c>
      <c r="Y608" t="s">
        <v>41</v>
      </c>
      <c r="Z608" t="s">
        <v>43</v>
      </c>
      <c r="AA608">
        <v>1821</v>
      </c>
      <c r="AB608" t="s">
        <v>1163</v>
      </c>
      <c r="AC608" t="s">
        <v>1141</v>
      </c>
      <c r="AD608" t="s">
        <v>1141</v>
      </c>
    </row>
    <row r="609" spans="1:30" x14ac:dyDescent="0.3">
      <c r="A609">
        <v>555542937</v>
      </c>
      <c r="B609">
        <v>555542937</v>
      </c>
      <c r="C609">
        <v>1</v>
      </c>
      <c r="D609" t="s">
        <v>1164</v>
      </c>
      <c r="E609" t="s">
        <v>1164</v>
      </c>
      <c r="F609" t="s">
        <v>1155</v>
      </c>
      <c r="G609" t="s">
        <v>1155</v>
      </c>
      <c r="H609" t="s">
        <v>39</v>
      </c>
      <c r="I609" t="s">
        <v>40</v>
      </c>
      <c r="J609" t="s">
        <v>41</v>
      </c>
      <c r="K609">
        <v>0</v>
      </c>
      <c r="L609">
        <v>0</v>
      </c>
      <c r="M609">
        <v>0</v>
      </c>
      <c r="N609">
        <v>72.5</v>
      </c>
      <c r="O609">
        <v>72.513577027234902</v>
      </c>
      <c r="P609" t="s">
        <v>41</v>
      </c>
      <c r="Q609">
        <v>0</v>
      </c>
      <c r="R609" t="s">
        <v>50</v>
      </c>
      <c r="S609">
        <v>2005</v>
      </c>
      <c r="T609" t="s">
        <v>630</v>
      </c>
      <c r="U609" t="s">
        <v>40</v>
      </c>
      <c r="V609" t="s">
        <v>40</v>
      </c>
      <c r="W609" t="s">
        <v>40</v>
      </c>
      <c r="X609" t="s">
        <v>41</v>
      </c>
      <c r="Y609" t="s">
        <v>41</v>
      </c>
      <c r="Z609" t="s">
        <v>43</v>
      </c>
      <c r="AA609">
        <v>1821</v>
      </c>
      <c r="AB609" t="s">
        <v>1156</v>
      </c>
      <c r="AC609" t="s">
        <v>1141</v>
      </c>
      <c r="AD609" t="s">
        <v>1141</v>
      </c>
    </row>
    <row r="610" spans="1:30" x14ac:dyDescent="0.3">
      <c r="A610">
        <v>555542944</v>
      </c>
      <c r="B610">
        <v>555542944</v>
      </c>
      <c r="C610">
        <v>1</v>
      </c>
      <c r="D610" t="s">
        <v>1165</v>
      </c>
      <c r="E610" t="s">
        <v>1165</v>
      </c>
      <c r="F610" t="s">
        <v>1155</v>
      </c>
      <c r="G610" t="s">
        <v>1155</v>
      </c>
      <c r="H610" t="s">
        <v>39</v>
      </c>
      <c r="I610" t="s">
        <v>40</v>
      </c>
      <c r="J610" t="s">
        <v>41</v>
      </c>
      <c r="K610">
        <v>0</v>
      </c>
      <c r="L610">
        <v>0</v>
      </c>
      <c r="M610">
        <v>0</v>
      </c>
      <c r="N610">
        <v>131.719999999999</v>
      </c>
      <c r="O610">
        <v>131.750244079455</v>
      </c>
      <c r="P610" t="s">
        <v>41</v>
      </c>
      <c r="Q610">
        <v>0</v>
      </c>
      <c r="R610" t="s">
        <v>50</v>
      </c>
      <c r="S610">
        <v>2005</v>
      </c>
      <c r="T610" t="s">
        <v>630</v>
      </c>
      <c r="U610" t="s">
        <v>40</v>
      </c>
      <c r="V610" t="s">
        <v>40</v>
      </c>
      <c r="W610" t="s">
        <v>40</v>
      </c>
      <c r="X610" t="s">
        <v>41</v>
      </c>
      <c r="Y610" t="s">
        <v>41</v>
      </c>
      <c r="Z610" t="s">
        <v>43</v>
      </c>
      <c r="AA610">
        <v>1821</v>
      </c>
      <c r="AB610" t="s">
        <v>1160</v>
      </c>
      <c r="AC610" t="s">
        <v>1141</v>
      </c>
      <c r="AD610" t="s">
        <v>1141</v>
      </c>
    </row>
    <row r="611" spans="1:30" x14ac:dyDescent="0.3">
      <c r="A611">
        <v>555542948</v>
      </c>
      <c r="B611">
        <v>555542948</v>
      </c>
      <c r="C611">
        <v>1</v>
      </c>
      <c r="D611" t="s">
        <v>1166</v>
      </c>
      <c r="E611" t="s">
        <v>1166</v>
      </c>
      <c r="F611" t="s">
        <v>1155</v>
      </c>
      <c r="G611" t="s">
        <v>1155</v>
      </c>
      <c r="H611" t="s">
        <v>39</v>
      </c>
      <c r="I611" t="s">
        <v>40</v>
      </c>
      <c r="J611" t="s">
        <v>41</v>
      </c>
      <c r="K611">
        <v>0</v>
      </c>
      <c r="L611">
        <v>0</v>
      </c>
      <c r="M611">
        <v>0</v>
      </c>
      <c r="N611">
        <v>508.33999999999901</v>
      </c>
      <c r="O611">
        <v>508.91886003090701</v>
      </c>
      <c r="P611" t="s">
        <v>41</v>
      </c>
      <c r="Q611">
        <v>0</v>
      </c>
      <c r="R611" t="s">
        <v>50</v>
      </c>
      <c r="S611">
        <v>2005</v>
      </c>
      <c r="T611" t="s">
        <v>630</v>
      </c>
      <c r="U611" t="s">
        <v>40</v>
      </c>
      <c r="V611" t="s">
        <v>40</v>
      </c>
      <c r="W611" t="s">
        <v>40</v>
      </c>
      <c r="X611" t="s">
        <v>41</v>
      </c>
      <c r="Y611" t="s">
        <v>41</v>
      </c>
      <c r="Z611" t="s">
        <v>43</v>
      </c>
      <c r="AA611">
        <v>1821</v>
      </c>
      <c r="AB611" t="s">
        <v>1140</v>
      </c>
      <c r="AC611" t="s">
        <v>1141</v>
      </c>
      <c r="AD611" t="s">
        <v>1141</v>
      </c>
    </row>
    <row r="612" spans="1:30" x14ac:dyDescent="0.3">
      <c r="A612">
        <v>555542953</v>
      </c>
      <c r="B612">
        <v>555542953</v>
      </c>
      <c r="C612">
        <v>1</v>
      </c>
      <c r="D612" t="s">
        <v>1167</v>
      </c>
      <c r="E612" t="s">
        <v>1167</v>
      </c>
      <c r="F612" t="s">
        <v>1155</v>
      </c>
      <c r="G612" t="s">
        <v>1155</v>
      </c>
      <c r="H612" t="s">
        <v>39</v>
      </c>
      <c r="I612" t="s">
        <v>40</v>
      </c>
      <c r="J612" t="s">
        <v>41</v>
      </c>
      <c r="K612">
        <v>0</v>
      </c>
      <c r="L612">
        <v>0</v>
      </c>
      <c r="M612">
        <v>0</v>
      </c>
      <c r="N612">
        <v>7730.67</v>
      </c>
      <c r="O612">
        <v>7732.22429474821</v>
      </c>
      <c r="P612" t="s">
        <v>41</v>
      </c>
      <c r="Q612">
        <v>0</v>
      </c>
      <c r="R612" t="s">
        <v>50</v>
      </c>
      <c r="S612">
        <v>2004</v>
      </c>
      <c r="T612" t="s">
        <v>630</v>
      </c>
      <c r="U612" t="s">
        <v>40</v>
      </c>
      <c r="V612" t="s">
        <v>40</v>
      </c>
      <c r="W612" t="s">
        <v>40</v>
      </c>
      <c r="X612" t="s">
        <v>41</v>
      </c>
      <c r="Y612" t="s">
        <v>41</v>
      </c>
      <c r="Z612" t="s">
        <v>43</v>
      </c>
      <c r="AA612">
        <v>1821</v>
      </c>
      <c r="AB612" t="s">
        <v>1152</v>
      </c>
      <c r="AC612" t="s">
        <v>1141</v>
      </c>
      <c r="AD612" t="s">
        <v>1141</v>
      </c>
    </row>
    <row r="613" spans="1:30" x14ac:dyDescent="0.3">
      <c r="A613">
        <v>555542969</v>
      </c>
      <c r="B613">
        <v>555542969</v>
      </c>
      <c r="C613">
        <v>1</v>
      </c>
      <c r="D613" t="s">
        <v>1168</v>
      </c>
      <c r="E613" t="s">
        <v>1168</v>
      </c>
      <c r="F613" t="s">
        <v>1155</v>
      </c>
      <c r="G613" t="s">
        <v>1155</v>
      </c>
      <c r="H613" t="s">
        <v>39</v>
      </c>
      <c r="I613" t="s">
        <v>40</v>
      </c>
      <c r="J613" t="s">
        <v>41</v>
      </c>
      <c r="K613">
        <v>0</v>
      </c>
      <c r="L613">
        <v>0</v>
      </c>
      <c r="M613">
        <v>0</v>
      </c>
      <c r="N613">
        <v>390.69999999999902</v>
      </c>
      <c r="O613">
        <v>390.73389914997603</v>
      </c>
      <c r="P613" t="s">
        <v>41</v>
      </c>
      <c r="Q613">
        <v>0</v>
      </c>
      <c r="R613" t="s">
        <v>50</v>
      </c>
      <c r="S613">
        <v>2006</v>
      </c>
      <c r="T613" t="s">
        <v>630</v>
      </c>
      <c r="U613" t="s">
        <v>40</v>
      </c>
      <c r="V613" t="s">
        <v>40</v>
      </c>
      <c r="W613" t="s">
        <v>40</v>
      </c>
      <c r="X613" t="s">
        <v>41</v>
      </c>
      <c r="Y613" t="s">
        <v>41</v>
      </c>
      <c r="Z613" t="s">
        <v>43</v>
      </c>
      <c r="AA613">
        <v>1821</v>
      </c>
      <c r="AB613" t="s">
        <v>1156</v>
      </c>
      <c r="AC613" t="s">
        <v>1141</v>
      </c>
      <c r="AD613" t="s">
        <v>1141</v>
      </c>
    </row>
    <row r="614" spans="1:30" x14ac:dyDescent="0.3">
      <c r="A614">
        <v>555555539</v>
      </c>
      <c r="B614">
        <v>555555539</v>
      </c>
      <c r="C614">
        <v>1</v>
      </c>
      <c r="D614" t="s">
        <v>1169</v>
      </c>
      <c r="E614" t="s">
        <v>1169</v>
      </c>
      <c r="F614" t="s">
        <v>1170</v>
      </c>
      <c r="G614" t="s">
        <v>1170</v>
      </c>
      <c r="H614" t="s">
        <v>39</v>
      </c>
      <c r="I614" t="s">
        <v>40</v>
      </c>
      <c r="J614" t="s">
        <v>41</v>
      </c>
      <c r="K614">
        <v>0</v>
      </c>
      <c r="L614">
        <v>0</v>
      </c>
      <c r="M614">
        <v>0</v>
      </c>
      <c r="N614">
        <v>267</v>
      </c>
      <c r="O614">
        <v>267.06389365187403</v>
      </c>
      <c r="P614" t="s">
        <v>41</v>
      </c>
      <c r="Q614">
        <v>0</v>
      </c>
      <c r="R614" t="s">
        <v>50</v>
      </c>
      <c r="S614">
        <v>2013</v>
      </c>
      <c r="T614" t="s">
        <v>630</v>
      </c>
      <c r="U614" t="s">
        <v>40</v>
      </c>
      <c r="V614" t="s">
        <v>40</v>
      </c>
      <c r="W614" t="s">
        <v>40</v>
      </c>
      <c r="X614" t="s">
        <v>41</v>
      </c>
      <c r="Y614" t="s">
        <v>41</v>
      </c>
      <c r="Z614" t="s">
        <v>43</v>
      </c>
      <c r="AA614">
        <v>1821</v>
      </c>
      <c r="AB614" t="s">
        <v>1163</v>
      </c>
      <c r="AC614" t="s">
        <v>1141</v>
      </c>
      <c r="AD614" t="s">
        <v>1141</v>
      </c>
    </row>
    <row r="615" spans="1:30" x14ac:dyDescent="0.3">
      <c r="A615">
        <v>555542975</v>
      </c>
      <c r="B615">
        <v>555542975</v>
      </c>
      <c r="C615">
        <v>1</v>
      </c>
      <c r="D615" t="s">
        <v>1171</v>
      </c>
      <c r="E615" t="s">
        <v>1171</v>
      </c>
      <c r="F615" t="s">
        <v>1170</v>
      </c>
      <c r="G615" t="s">
        <v>1170</v>
      </c>
      <c r="H615" t="s">
        <v>39</v>
      </c>
      <c r="I615" t="s">
        <v>40</v>
      </c>
      <c r="J615" t="s">
        <v>41</v>
      </c>
      <c r="K615">
        <v>0</v>
      </c>
      <c r="L615">
        <v>0</v>
      </c>
      <c r="M615">
        <v>0</v>
      </c>
      <c r="N615">
        <v>197</v>
      </c>
      <c r="O615">
        <v>196.72662659894101</v>
      </c>
      <c r="P615" t="s">
        <v>41</v>
      </c>
      <c r="Q615">
        <v>0</v>
      </c>
      <c r="R615" t="s">
        <v>50</v>
      </c>
      <c r="S615">
        <v>2006</v>
      </c>
      <c r="T615" t="s">
        <v>630</v>
      </c>
      <c r="U615" t="s">
        <v>40</v>
      </c>
      <c r="V615" t="s">
        <v>40</v>
      </c>
      <c r="W615" t="s">
        <v>40</v>
      </c>
      <c r="X615" t="s">
        <v>41</v>
      </c>
      <c r="Y615" t="s">
        <v>41</v>
      </c>
      <c r="Z615" t="s">
        <v>43</v>
      </c>
      <c r="AA615">
        <v>1821</v>
      </c>
      <c r="AB615" t="s">
        <v>1156</v>
      </c>
      <c r="AC615" t="s">
        <v>1141</v>
      </c>
      <c r="AD615" t="s">
        <v>1141</v>
      </c>
    </row>
    <row r="616" spans="1:30" x14ac:dyDescent="0.3">
      <c r="A616">
        <v>555542977</v>
      </c>
      <c r="B616">
        <v>555542977</v>
      </c>
      <c r="C616">
        <v>1</v>
      </c>
      <c r="D616" t="s">
        <v>1158</v>
      </c>
      <c r="E616" t="s">
        <v>1158</v>
      </c>
      <c r="F616" t="s">
        <v>1170</v>
      </c>
      <c r="G616" t="s">
        <v>1170</v>
      </c>
      <c r="H616" t="s">
        <v>39</v>
      </c>
      <c r="I616" t="s">
        <v>40</v>
      </c>
      <c r="J616" t="s">
        <v>41</v>
      </c>
      <c r="K616">
        <v>0</v>
      </c>
      <c r="L616">
        <v>0</v>
      </c>
      <c r="M616">
        <v>0</v>
      </c>
      <c r="N616">
        <v>212</v>
      </c>
      <c r="O616">
        <v>211.74969179851001</v>
      </c>
      <c r="P616" t="s">
        <v>41</v>
      </c>
      <c r="Q616">
        <v>0</v>
      </c>
      <c r="R616" t="s">
        <v>50</v>
      </c>
      <c r="S616">
        <v>2006</v>
      </c>
      <c r="T616" t="s">
        <v>630</v>
      </c>
      <c r="U616" t="s">
        <v>40</v>
      </c>
      <c r="V616" t="s">
        <v>40</v>
      </c>
      <c r="W616" t="s">
        <v>40</v>
      </c>
      <c r="X616" t="s">
        <v>41</v>
      </c>
      <c r="Y616" t="s">
        <v>41</v>
      </c>
      <c r="Z616" t="s">
        <v>43</v>
      </c>
      <c r="AA616">
        <v>1821</v>
      </c>
      <c r="AB616" t="s">
        <v>1156</v>
      </c>
      <c r="AC616" t="s">
        <v>1141</v>
      </c>
      <c r="AD616" t="s">
        <v>1141</v>
      </c>
    </row>
    <row r="617" spans="1:30" x14ac:dyDescent="0.3">
      <c r="A617">
        <v>884</v>
      </c>
      <c r="B617">
        <v>884</v>
      </c>
      <c r="C617">
        <v>1</v>
      </c>
      <c r="D617" t="s">
        <v>1172</v>
      </c>
      <c r="E617" t="s">
        <v>1172</v>
      </c>
      <c r="F617" t="s">
        <v>123</v>
      </c>
      <c r="G617" t="s">
        <v>123</v>
      </c>
      <c r="H617" t="s">
        <v>39</v>
      </c>
      <c r="I617" t="s">
        <v>124</v>
      </c>
      <c r="J617" t="s">
        <v>41</v>
      </c>
      <c r="K617">
        <v>0</v>
      </c>
      <c r="L617">
        <v>0</v>
      </c>
      <c r="M617">
        <v>0</v>
      </c>
      <c r="N617">
        <v>22941</v>
      </c>
      <c r="O617">
        <v>22941.3925178309</v>
      </c>
      <c r="P617" t="s">
        <v>41</v>
      </c>
      <c r="Q617">
        <v>0</v>
      </c>
      <c r="R617" t="s">
        <v>50</v>
      </c>
      <c r="S617">
        <v>1975</v>
      </c>
      <c r="T617" t="s">
        <v>66</v>
      </c>
      <c r="U617" t="s">
        <v>40</v>
      </c>
      <c r="V617" t="s">
        <v>40</v>
      </c>
      <c r="W617" t="s">
        <v>40</v>
      </c>
      <c r="X617" t="s">
        <v>41</v>
      </c>
      <c r="Y617" t="s">
        <v>41</v>
      </c>
      <c r="Z617" t="s">
        <v>43</v>
      </c>
      <c r="AA617">
        <v>1821</v>
      </c>
      <c r="AB617" t="s">
        <v>1140</v>
      </c>
      <c r="AC617" t="s">
        <v>1141</v>
      </c>
      <c r="AD617" t="s">
        <v>1141</v>
      </c>
    </row>
    <row r="618" spans="1:30" x14ac:dyDescent="0.3">
      <c r="A618">
        <v>18004</v>
      </c>
      <c r="B618">
        <v>18004</v>
      </c>
      <c r="C618">
        <v>1</v>
      </c>
      <c r="D618" t="s">
        <v>1173</v>
      </c>
      <c r="E618" t="s">
        <v>1173</v>
      </c>
      <c r="F618" t="s">
        <v>123</v>
      </c>
      <c r="G618" t="s">
        <v>123</v>
      </c>
      <c r="H618" t="s">
        <v>39</v>
      </c>
      <c r="I618" t="s">
        <v>1086</v>
      </c>
      <c r="J618" t="s">
        <v>41</v>
      </c>
      <c r="K618">
        <v>0</v>
      </c>
      <c r="L618">
        <v>0</v>
      </c>
      <c r="M618">
        <v>0</v>
      </c>
      <c r="N618">
        <v>41</v>
      </c>
      <c r="O618">
        <v>41.154605309810101</v>
      </c>
      <c r="P618" t="s">
        <v>41</v>
      </c>
      <c r="Q618">
        <v>0</v>
      </c>
      <c r="R618" t="s">
        <v>50</v>
      </c>
      <c r="S618">
        <v>1972</v>
      </c>
      <c r="T618" t="s">
        <v>66</v>
      </c>
      <c r="U618" t="s">
        <v>40</v>
      </c>
      <c r="V618" t="s">
        <v>40</v>
      </c>
      <c r="W618" t="s">
        <v>40</v>
      </c>
      <c r="X618" t="s">
        <v>41</v>
      </c>
      <c r="Y618" t="s">
        <v>41</v>
      </c>
      <c r="Z618" t="s">
        <v>43</v>
      </c>
      <c r="AA618">
        <v>1821</v>
      </c>
      <c r="AB618" t="s">
        <v>1174</v>
      </c>
      <c r="AC618" t="s">
        <v>1141</v>
      </c>
      <c r="AD618" t="s">
        <v>1141</v>
      </c>
    </row>
    <row r="619" spans="1:30" x14ac:dyDescent="0.3">
      <c r="A619">
        <v>303692</v>
      </c>
      <c r="B619">
        <v>303692</v>
      </c>
      <c r="C619">
        <v>1</v>
      </c>
      <c r="D619" t="s">
        <v>1175</v>
      </c>
      <c r="E619" t="s">
        <v>1175</v>
      </c>
      <c r="F619" t="s">
        <v>123</v>
      </c>
      <c r="G619" t="s">
        <v>123</v>
      </c>
      <c r="H619" t="s">
        <v>39</v>
      </c>
      <c r="I619" t="s">
        <v>49</v>
      </c>
      <c r="J619" t="s">
        <v>41</v>
      </c>
      <c r="K619">
        <v>0</v>
      </c>
      <c r="L619">
        <v>0</v>
      </c>
      <c r="M619">
        <v>0</v>
      </c>
      <c r="N619">
        <v>6274</v>
      </c>
      <c r="O619">
        <v>6276.0809842915596</v>
      </c>
      <c r="P619" t="s">
        <v>41</v>
      </c>
      <c r="Q619">
        <v>0</v>
      </c>
      <c r="R619" t="s">
        <v>50</v>
      </c>
      <c r="S619">
        <v>2007</v>
      </c>
      <c r="T619" t="s">
        <v>66</v>
      </c>
      <c r="U619" t="s">
        <v>51</v>
      </c>
      <c r="V619" t="s">
        <v>1176</v>
      </c>
      <c r="W619" t="s">
        <v>1177</v>
      </c>
      <c r="X619" t="s">
        <v>41</v>
      </c>
      <c r="Y619" t="s">
        <v>41</v>
      </c>
      <c r="Z619" t="s">
        <v>43</v>
      </c>
      <c r="AA619">
        <v>1821</v>
      </c>
      <c r="AB619" t="s">
        <v>1178</v>
      </c>
      <c r="AC619" t="s">
        <v>1141</v>
      </c>
      <c r="AD619" t="s">
        <v>1141</v>
      </c>
    </row>
    <row r="620" spans="1:30" x14ac:dyDescent="0.3">
      <c r="A620">
        <v>555543021</v>
      </c>
      <c r="B620">
        <v>555543021</v>
      </c>
      <c r="C620">
        <v>1</v>
      </c>
      <c r="D620" t="s">
        <v>1179</v>
      </c>
      <c r="E620" t="s">
        <v>1179</v>
      </c>
      <c r="F620" t="s">
        <v>1180</v>
      </c>
      <c r="G620" t="s">
        <v>1180</v>
      </c>
      <c r="H620" t="s">
        <v>39</v>
      </c>
      <c r="I620" t="s">
        <v>40</v>
      </c>
      <c r="J620" t="s">
        <v>41</v>
      </c>
      <c r="K620">
        <v>0</v>
      </c>
      <c r="L620">
        <v>0</v>
      </c>
      <c r="M620">
        <v>0</v>
      </c>
      <c r="N620">
        <v>1162</v>
      </c>
      <c r="O620">
        <v>1162.5613351894301</v>
      </c>
      <c r="P620" t="s">
        <v>41</v>
      </c>
      <c r="Q620">
        <v>0</v>
      </c>
      <c r="R620" t="s">
        <v>50</v>
      </c>
      <c r="S620">
        <v>1995</v>
      </c>
      <c r="T620" t="s">
        <v>1181</v>
      </c>
      <c r="U620" t="s">
        <v>40</v>
      </c>
      <c r="V620" t="s">
        <v>40</v>
      </c>
      <c r="W620" t="s">
        <v>40</v>
      </c>
      <c r="X620" t="s">
        <v>41</v>
      </c>
      <c r="Y620" t="s">
        <v>41</v>
      </c>
      <c r="Z620" t="s">
        <v>43</v>
      </c>
      <c r="AA620">
        <v>1821</v>
      </c>
      <c r="AB620" t="s">
        <v>1160</v>
      </c>
      <c r="AC620" t="s">
        <v>1141</v>
      </c>
      <c r="AD620" t="s">
        <v>1141</v>
      </c>
    </row>
    <row r="621" spans="1:30" x14ac:dyDescent="0.3">
      <c r="A621">
        <v>555745317</v>
      </c>
      <c r="B621">
        <v>555745317</v>
      </c>
      <c r="C621">
        <v>1</v>
      </c>
      <c r="D621" t="s">
        <v>1182</v>
      </c>
      <c r="E621" t="s">
        <v>1182</v>
      </c>
      <c r="F621" t="s">
        <v>1155</v>
      </c>
      <c r="G621" t="s">
        <v>1155</v>
      </c>
      <c r="H621" t="s">
        <v>39</v>
      </c>
      <c r="I621" t="s">
        <v>40</v>
      </c>
      <c r="J621" t="s">
        <v>41</v>
      </c>
      <c r="K621">
        <v>0</v>
      </c>
      <c r="L621">
        <v>0</v>
      </c>
      <c r="M621">
        <v>0</v>
      </c>
      <c r="N621">
        <v>1107.6819849999899</v>
      </c>
      <c r="O621">
        <v>1107.6133155422301</v>
      </c>
      <c r="P621" t="s">
        <v>41</v>
      </c>
      <c r="Q621">
        <v>0</v>
      </c>
      <c r="R621" t="s">
        <v>50</v>
      </c>
      <c r="S621">
        <v>2017</v>
      </c>
      <c r="T621" t="s">
        <v>630</v>
      </c>
      <c r="U621" t="s">
        <v>40</v>
      </c>
      <c r="V621" t="s">
        <v>40</v>
      </c>
      <c r="W621" t="s">
        <v>40</v>
      </c>
      <c r="X621" t="s">
        <v>41</v>
      </c>
      <c r="Y621" t="s">
        <v>41</v>
      </c>
      <c r="Z621" t="s">
        <v>43</v>
      </c>
      <c r="AA621">
        <v>1821</v>
      </c>
      <c r="AB621" t="s">
        <v>40</v>
      </c>
      <c r="AC621" t="s">
        <v>1141</v>
      </c>
      <c r="AD621" t="s">
        <v>1141</v>
      </c>
    </row>
    <row r="622" spans="1:30" x14ac:dyDescent="0.3">
      <c r="A622">
        <v>555745318</v>
      </c>
      <c r="B622">
        <v>555745318</v>
      </c>
      <c r="C622">
        <v>1</v>
      </c>
      <c r="D622" t="s">
        <v>1183</v>
      </c>
      <c r="E622" t="s">
        <v>1183</v>
      </c>
      <c r="F622" t="s">
        <v>1155</v>
      </c>
      <c r="G622" t="s">
        <v>1155</v>
      </c>
      <c r="H622" t="s">
        <v>39</v>
      </c>
      <c r="I622" t="s">
        <v>40</v>
      </c>
      <c r="J622" t="s">
        <v>41</v>
      </c>
      <c r="K622">
        <v>0</v>
      </c>
      <c r="L622">
        <v>0</v>
      </c>
      <c r="M622">
        <v>0</v>
      </c>
      <c r="N622">
        <v>1268.745721</v>
      </c>
      <c r="O622">
        <v>1268.7445926258099</v>
      </c>
      <c r="P622" t="s">
        <v>41</v>
      </c>
      <c r="Q622">
        <v>0</v>
      </c>
      <c r="R622" t="s">
        <v>50</v>
      </c>
      <c r="S622">
        <v>2018</v>
      </c>
      <c r="T622" t="s">
        <v>630</v>
      </c>
      <c r="U622" t="s">
        <v>40</v>
      </c>
      <c r="V622" t="s">
        <v>40</v>
      </c>
      <c r="W622" t="s">
        <v>40</v>
      </c>
      <c r="X622" t="s">
        <v>41</v>
      </c>
      <c r="Y622" t="s">
        <v>41</v>
      </c>
      <c r="Z622" t="s">
        <v>43</v>
      </c>
      <c r="AA622">
        <v>1821</v>
      </c>
      <c r="AB622" t="s">
        <v>40</v>
      </c>
      <c r="AC622" t="s">
        <v>1141</v>
      </c>
      <c r="AD622" t="s">
        <v>1141</v>
      </c>
    </row>
    <row r="623" spans="1:30" x14ac:dyDescent="0.3">
      <c r="A623">
        <v>7442</v>
      </c>
      <c r="B623">
        <v>7442</v>
      </c>
      <c r="C623">
        <v>1</v>
      </c>
      <c r="D623" t="s">
        <v>1119</v>
      </c>
      <c r="E623" t="s">
        <v>1119</v>
      </c>
      <c r="F623" t="s">
        <v>1098</v>
      </c>
      <c r="G623" t="s">
        <v>1098</v>
      </c>
      <c r="H623" t="s">
        <v>39</v>
      </c>
      <c r="I623" t="s">
        <v>49</v>
      </c>
      <c r="J623" t="s">
        <v>41</v>
      </c>
      <c r="K623">
        <v>0</v>
      </c>
      <c r="L623">
        <v>0</v>
      </c>
      <c r="M623">
        <v>0</v>
      </c>
      <c r="N623">
        <v>1446</v>
      </c>
      <c r="O623">
        <v>1468.00640842796</v>
      </c>
      <c r="P623" t="s">
        <v>41</v>
      </c>
      <c r="Q623">
        <v>0</v>
      </c>
      <c r="R623" t="s">
        <v>50</v>
      </c>
      <c r="S623">
        <v>2022</v>
      </c>
      <c r="T623" t="s">
        <v>66</v>
      </c>
      <c r="U623" t="s">
        <v>51</v>
      </c>
      <c r="V623" t="s">
        <v>1176</v>
      </c>
      <c r="W623" t="s">
        <v>359</v>
      </c>
      <c r="X623" t="s">
        <v>41</v>
      </c>
      <c r="Y623" t="s">
        <v>41</v>
      </c>
      <c r="Z623" t="s">
        <v>43</v>
      </c>
      <c r="AA623">
        <v>1821</v>
      </c>
      <c r="AB623" t="s">
        <v>1156</v>
      </c>
      <c r="AC623" t="s">
        <v>1141</v>
      </c>
      <c r="AD623" t="s">
        <v>1141</v>
      </c>
    </row>
    <row r="624" spans="1:30" x14ac:dyDescent="0.3">
      <c r="A624">
        <v>555759502</v>
      </c>
      <c r="B624">
        <v>555759502</v>
      </c>
      <c r="C624">
        <v>1</v>
      </c>
      <c r="D624" t="s">
        <v>1184</v>
      </c>
      <c r="E624" t="s">
        <v>1184</v>
      </c>
      <c r="F624" t="s">
        <v>102</v>
      </c>
      <c r="G624" t="s">
        <v>102</v>
      </c>
      <c r="H624" t="s">
        <v>39</v>
      </c>
      <c r="I624" t="s">
        <v>40</v>
      </c>
      <c r="J624" t="s">
        <v>41</v>
      </c>
      <c r="K624">
        <v>0</v>
      </c>
      <c r="L624">
        <v>0</v>
      </c>
      <c r="M624">
        <v>0</v>
      </c>
      <c r="N624">
        <v>413.16</v>
      </c>
      <c r="O624">
        <v>402.86673347969997</v>
      </c>
      <c r="P624" t="s">
        <v>41</v>
      </c>
      <c r="Q624">
        <v>0</v>
      </c>
      <c r="R624" t="s">
        <v>50</v>
      </c>
      <c r="S624">
        <v>2017</v>
      </c>
      <c r="T624" t="s">
        <v>66</v>
      </c>
      <c r="U624" t="s">
        <v>51</v>
      </c>
      <c r="V624" t="s">
        <v>493</v>
      </c>
      <c r="W624" t="s">
        <v>40</v>
      </c>
      <c r="X624" t="s">
        <v>41</v>
      </c>
      <c r="Y624" t="s">
        <v>41</v>
      </c>
      <c r="Z624" t="s">
        <v>43</v>
      </c>
      <c r="AA624">
        <v>178</v>
      </c>
      <c r="AB624" t="s">
        <v>40</v>
      </c>
      <c r="AC624" t="s">
        <v>87</v>
      </c>
      <c r="AD624" t="s">
        <v>87</v>
      </c>
    </row>
    <row r="625" spans="1:30" x14ac:dyDescent="0.3">
      <c r="A625">
        <v>555759504</v>
      </c>
      <c r="B625">
        <v>555759504</v>
      </c>
      <c r="C625">
        <v>1</v>
      </c>
      <c r="D625" t="s">
        <v>1185</v>
      </c>
      <c r="E625" t="s">
        <v>1185</v>
      </c>
      <c r="F625" t="s">
        <v>102</v>
      </c>
      <c r="G625" t="s">
        <v>102</v>
      </c>
      <c r="H625" t="s">
        <v>39</v>
      </c>
      <c r="I625" t="s">
        <v>40</v>
      </c>
      <c r="J625" t="s">
        <v>41</v>
      </c>
      <c r="K625">
        <v>0</v>
      </c>
      <c r="L625">
        <v>0</v>
      </c>
      <c r="M625">
        <v>0</v>
      </c>
      <c r="N625">
        <v>4514.3100000000004</v>
      </c>
      <c r="O625">
        <v>4519.1837405083597</v>
      </c>
      <c r="P625" t="s">
        <v>41</v>
      </c>
      <c r="Q625">
        <v>0</v>
      </c>
      <c r="R625" t="s">
        <v>50</v>
      </c>
      <c r="S625">
        <v>2017</v>
      </c>
      <c r="T625" t="s">
        <v>66</v>
      </c>
      <c r="U625" t="s">
        <v>51</v>
      </c>
      <c r="V625" t="s">
        <v>493</v>
      </c>
      <c r="W625" t="s">
        <v>40</v>
      </c>
      <c r="X625" t="s">
        <v>41</v>
      </c>
      <c r="Y625" t="s">
        <v>41</v>
      </c>
      <c r="Z625" t="s">
        <v>43</v>
      </c>
      <c r="AA625">
        <v>178</v>
      </c>
      <c r="AB625" t="s">
        <v>40</v>
      </c>
      <c r="AC625" t="s">
        <v>87</v>
      </c>
      <c r="AD625" t="s">
        <v>87</v>
      </c>
    </row>
    <row r="626" spans="1:30" x14ac:dyDescent="0.3">
      <c r="A626">
        <v>555759476</v>
      </c>
      <c r="B626">
        <v>555759476</v>
      </c>
      <c r="C626">
        <v>1</v>
      </c>
      <c r="D626" t="s">
        <v>1186</v>
      </c>
      <c r="E626" t="s">
        <v>1186</v>
      </c>
      <c r="F626" t="s">
        <v>102</v>
      </c>
      <c r="G626" t="s">
        <v>102</v>
      </c>
      <c r="H626" t="s">
        <v>39</v>
      </c>
      <c r="I626" t="s">
        <v>40</v>
      </c>
      <c r="J626" t="s">
        <v>41</v>
      </c>
      <c r="K626">
        <v>0</v>
      </c>
      <c r="L626">
        <v>0</v>
      </c>
      <c r="M626">
        <v>0.99279807980853196</v>
      </c>
      <c r="N626">
        <v>450.68099999999902</v>
      </c>
      <c r="O626">
        <v>281.11550472892401</v>
      </c>
      <c r="P626" t="s">
        <v>41</v>
      </c>
      <c r="Q626">
        <v>0</v>
      </c>
      <c r="R626" t="s">
        <v>50</v>
      </c>
      <c r="S626">
        <v>1991</v>
      </c>
      <c r="T626" t="s">
        <v>66</v>
      </c>
      <c r="U626" t="s">
        <v>51</v>
      </c>
      <c r="V626" t="s">
        <v>493</v>
      </c>
      <c r="W626" t="s">
        <v>40</v>
      </c>
      <c r="X626" t="s">
        <v>41</v>
      </c>
      <c r="Y626" t="s">
        <v>41</v>
      </c>
      <c r="Z626" t="s">
        <v>43</v>
      </c>
      <c r="AA626">
        <v>178</v>
      </c>
      <c r="AB626" t="s">
        <v>40</v>
      </c>
      <c r="AC626" t="s">
        <v>87</v>
      </c>
      <c r="AD626" t="s">
        <v>87</v>
      </c>
    </row>
    <row r="627" spans="1:30" x14ac:dyDescent="0.3">
      <c r="A627">
        <v>351417</v>
      </c>
      <c r="B627">
        <v>351417</v>
      </c>
      <c r="C627">
        <v>1</v>
      </c>
      <c r="D627" t="s">
        <v>1187</v>
      </c>
      <c r="E627" t="s">
        <v>1187</v>
      </c>
      <c r="F627" t="s">
        <v>1188</v>
      </c>
      <c r="G627" t="s">
        <v>1188</v>
      </c>
      <c r="H627" t="s">
        <v>39</v>
      </c>
      <c r="I627" t="s">
        <v>40</v>
      </c>
      <c r="J627" t="s">
        <v>41</v>
      </c>
      <c r="K627">
        <v>0</v>
      </c>
      <c r="L627">
        <v>0</v>
      </c>
      <c r="M627">
        <v>0</v>
      </c>
      <c r="N627">
        <v>44.124055387699897</v>
      </c>
      <c r="O627">
        <v>44.123955409578102</v>
      </c>
      <c r="P627" t="s">
        <v>41</v>
      </c>
      <c r="Q627">
        <v>0</v>
      </c>
      <c r="R627" t="s">
        <v>50</v>
      </c>
      <c r="S627">
        <v>1997</v>
      </c>
      <c r="T627" t="s">
        <v>66</v>
      </c>
      <c r="U627" t="s">
        <v>51</v>
      </c>
      <c r="V627" t="s">
        <v>1189</v>
      </c>
      <c r="W627" t="s">
        <v>40</v>
      </c>
      <c r="X627" t="s">
        <v>41</v>
      </c>
      <c r="Y627" t="s">
        <v>41</v>
      </c>
      <c r="Z627" t="s">
        <v>43</v>
      </c>
      <c r="AA627">
        <v>1840</v>
      </c>
      <c r="AB627" t="s">
        <v>1190</v>
      </c>
      <c r="AC627" t="s">
        <v>1191</v>
      </c>
      <c r="AD627" t="s">
        <v>1191</v>
      </c>
    </row>
    <row r="628" spans="1:30" x14ac:dyDescent="0.3">
      <c r="A628">
        <v>555571101</v>
      </c>
      <c r="B628">
        <v>555571101</v>
      </c>
      <c r="C628">
        <v>1</v>
      </c>
      <c r="D628" t="s">
        <v>1192</v>
      </c>
      <c r="E628" t="s">
        <v>1192</v>
      </c>
      <c r="F628" t="s">
        <v>130</v>
      </c>
      <c r="G628" t="s">
        <v>130</v>
      </c>
      <c r="H628" t="s">
        <v>39</v>
      </c>
      <c r="I628" t="s">
        <v>40</v>
      </c>
      <c r="J628" t="s">
        <v>41</v>
      </c>
      <c r="K628">
        <v>0</v>
      </c>
      <c r="L628">
        <v>0</v>
      </c>
      <c r="M628">
        <v>0</v>
      </c>
      <c r="N628">
        <v>1.66680684543</v>
      </c>
      <c r="O628">
        <v>1.66682896637996</v>
      </c>
      <c r="P628" t="s">
        <v>41</v>
      </c>
      <c r="Q628">
        <v>0</v>
      </c>
      <c r="R628" t="s">
        <v>50</v>
      </c>
      <c r="S628">
        <v>2012</v>
      </c>
      <c r="T628" t="s">
        <v>66</v>
      </c>
      <c r="U628" t="s">
        <v>51</v>
      </c>
      <c r="V628" t="s">
        <v>1193</v>
      </c>
      <c r="W628" t="s">
        <v>40</v>
      </c>
      <c r="X628" t="s">
        <v>41</v>
      </c>
      <c r="Y628" t="s">
        <v>41</v>
      </c>
      <c r="Z628" t="s">
        <v>43</v>
      </c>
      <c r="AA628">
        <v>1840</v>
      </c>
      <c r="AB628" t="s">
        <v>1194</v>
      </c>
      <c r="AC628" t="s">
        <v>1191</v>
      </c>
      <c r="AD628" t="s">
        <v>1191</v>
      </c>
    </row>
    <row r="629" spans="1:30" x14ac:dyDescent="0.3">
      <c r="A629">
        <v>351430</v>
      </c>
      <c r="B629">
        <v>351430</v>
      </c>
      <c r="C629">
        <v>1</v>
      </c>
      <c r="D629" t="s">
        <v>1195</v>
      </c>
      <c r="E629" t="s">
        <v>1195</v>
      </c>
      <c r="F629" t="s">
        <v>1196</v>
      </c>
      <c r="G629" t="s">
        <v>1196</v>
      </c>
      <c r="H629" t="s">
        <v>39</v>
      </c>
      <c r="I629" t="s">
        <v>40</v>
      </c>
      <c r="J629" t="s">
        <v>41</v>
      </c>
      <c r="K629">
        <v>0</v>
      </c>
      <c r="L629">
        <v>0</v>
      </c>
      <c r="M629">
        <v>0</v>
      </c>
      <c r="N629">
        <v>825.31130838499905</v>
      </c>
      <c r="O629">
        <v>825.31623759973195</v>
      </c>
      <c r="P629" t="s">
        <v>41</v>
      </c>
      <c r="Q629">
        <v>0</v>
      </c>
      <c r="R629" t="s">
        <v>50</v>
      </c>
      <c r="S629">
        <v>1979</v>
      </c>
      <c r="T629" t="s">
        <v>1181</v>
      </c>
      <c r="U629" t="s">
        <v>1181</v>
      </c>
      <c r="V629" t="s">
        <v>1197</v>
      </c>
      <c r="W629" t="s">
        <v>40</v>
      </c>
      <c r="X629" t="s">
        <v>41</v>
      </c>
      <c r="Y629" t="s">
        <v>41</v>
      </c>
      <c r="Z629" t="s">
        <v>43</v>
      </c>
      <c r="AA629">
        <v>1840</v>
      </c>
      <c r="AB629" t="s">
        <v>1190</v>
      </c>
      <c r="AC629" t="s">
        <v>1191</v>
      </c>
      <c r="AD629" t="s">
        <v>1191</v>
      </c>
    </row>
    <row r="630" spans="1:30" x14ac:dyDescent="0.3">
      <c r="A630">
        <v>555563482</v>
      </c>
      <c r="B630">
        <v>555563482</v>
      </c>
      <c r="C630">
        <v>1</v>
      </c>
      <c r="D630" t="s">
        <v>1198</v>
      </c>
      <c r="E630" t="s">
        <v>1198</v>
      </c>
      <c r="F630" t="s">
        <v>1188</v>
      </c>
      <c r="G630" t="s">
        <v>1188</v>
      </c>
      <c r="H630" t="s">
        <v>39</v>
      </c>
      <c r="I630" t="s">
        <v>40</v>
      </c>
      <c r="J630" t="s">
        <v>41</v>
      </c>
      <c r="K630">
        <v>0</v>
      </c>
      <c r="L630">
        <v>0</v>
      </c>
      <c r="M630">
        <v>0</v>
      </c>
      <c r="N630">
        <v>343.55864299000001</v>
      </c>
      <c r="O630">
        <v>343.55628423069101</v>
      </c>
      <c r="P630" t="s">
        <v>41</v>
      </c>
      <c r="Q630">
        <v>0</v>
      </c>
      <c r="R630" t="s">
        <v>50</v>
      </c>
      <c r="S630">
        <v>1994</v>
      </c>
      <c r="T630" t="s">
        <v>66</v>
      </c>
      <c r="U630" t="s">
        <v>51</v>
      </c>
      <c r="V630" t="s">
        <v>1199</v>
      </c>
      <c r="W630" t="s">
        <v>40</v>
      </c>
      <c r="X630" t="s">
        <v>41</v>
      </c>
      <c r="Y630" t="s">
        <v>41</v>
      </c>
      <c r="Z630" t="s">
        <v>43</v>
      </c>
      <c r="AA630">
        <v>1840</v>
      </c>
      <c r="AB630" t="s">
        <v>1200</v>
      </c>
      <c r="AC630" t="s">
        <v>1191</v>
      </c>
      <c r="AD630" t="s">
        <v>1191</v>
      </c>
    </row>
    <row r="631" spans="1:30" x14ac:dyDescent="0.3">
      <c r="A631">
        <v>555570578</v>
      </c>
      <c r="B631">
        <v>555570578</v>
      </c>
      <c r="C631">
        <v>1</v>
      </c>
      <c r="D631" t="s">
        <v>1201</v>
      </c>
      <c r="E631" t="s">
        <v>1201</v>
      </c>
      <c r="F631" t="s">
        <v>130</v>
      </c>
      <c r="G631" t="s">
        <v>130</v>
      </c>
      <c r="H631" t="s">
        <v>39</v>
      </c>
      <c r="I631" t="s">
        <v>40</v>
      </c>
      <c r="J631" t="s">
        <v>41</v>
      </c>
      <c r="K631">
        <v>0</v>
      </c>
      <c r="L631">
        <v>0</v>
      </c>
      <c r="M631">
        <v>0</v>
      </c>
      <c r="N631">
        <v>21.3554321925</v>
      </c>
      <c r="O631">
        <v>21.3556864657386</v>
      </c>
      <c r="P631" t="s">
        <v>41</v>
      </c>
      <c r="Q631">
        <v>0</v>
      </c>
      <c r="R631" t="s">
        <v>50</v>
      </c>
      <c r="S631">
        <v>1993</v>
      </c>
      <c r="T631" t="s">
        <v>1181</v>
      </c>
      <c r="U631" t="s">
        <v>1181</v>
      </c>
      <c r="V631" t="s">
        <v>40</v>
      </c>
      <c r="W631" t="s">
        <v>40</v>
      </c>
      <c r="X631" t="s">
        <v>41</v>
      </c>
      <c r="Y631" t="s">
        <v>41</v>
      </c>
      <c r="Z631" t="s">
        <v>43</v>
      </c>
      <c r="AA631">
        <v>1840</v>
      </c>
      <c r="AB631" t="s">
        <v>1200</v>
      </c>
      <c r="AC631" t="s">
        <v>1191</v>
      </c>
      <c r="AD631" t="s">
        <v>1191</v>
      </c>
    </row>
    <row r="632" spans="1:30" x14ac:dyDescent="0.3">
      <c r="A632">
        <v>555563614</v>
      </c>
      <c r="B632">
        <v>555563614</v>
      </c>
      <c r="C632">
        <v>1</v>
      </c>
      <c r="D632" t="s">
        <v>1202</v>
      </c>
      <c r="E632" t="s">
        <v>1202</v>
      </c>
      <c r="F632" t="s">
        <v>130</v>
      </c>
      <c r="G632" t="s">
        <v>130</v>
      </c>
      <c r="H632" t="s">
        <v>39</v>
      </c>
      <c r="I632" t="s">
        <v>40</v>
      </c>
      <c r="J632" t="s">
        <v>41</v>
      </c>
      <c r="K632">
        <v>0</v>
      </c>
      <c r="L632">
        <v>0</v>
      </c>
      <c r="M632">
        <v>0</v>
      </c>
      <c r="N632">
        <v>14.6390530136</v>
      </c>
      <c r="O632">
        <v>14.639202103780301</v>
      </c>
      <c r="P632" t="s">
        <v>41</v>
      </c>
      <c r="Q632">
        <v>0</v>
      </c>
      <c r="R632" t="s">
        <v>50</v>
      </c>
      <c r="S632">
        <v>2014</v>
      </c>
      <c r="T632" t="s">
        <v>66</v>
      </c>
      <c r="U632" t="s">
        <v>51</v>
      </c>
      <c r="V632" t="s">
        <v>1203</v>
      </c>
      <c r="W632" t="s">
        <v>40</v>
      </c>
      <c r="X632" t="s">
        <v>41</v>
      </c>
      <c r="Y632" t="s">
        <v>41</v>
      </c>
      <c r="Z632" t="s">
        <v>43</v>
      </c>
      <c r="AA632">
        <v>1840</v>
      </c>
      <c r="AB632" t="s">
        <v>1204</v>
      </c>
      <c r="AC632" t="s">
        <v>1191</v>
      </c>
      <c r="AD632" t="s">
        <v>1191</v>
      </c>
    </row>
    <row r="633" spans="1:30" x14ac:dyDescent="0.3">
      <c r="A633">
        <v>555571065</v>
      </c>
      <c r="B633">
        <v>555571065</v>
      </c>
      <c r="C633">
        <v>1</v>
      </c>
      <c r="D633" t="s">
        <v>1205</v>
      </c>
      <c r="E633" t="s">
        <v>1205</v>
      </c>
      <c r="F633" t="s">
        <v>1188</v>
      </c>
      <c r="G633" t="s">
        <v>1188</v>
      </c>
      <c r="H633" t="s">
        <v>39</v>
      </c>
      <c r="I633" t="s">
        <v>40</v>
      </c>
      <c r="J633" t="s">
        <v>41</v>
      </c>
      <c r="K633">
        <v>1</v>
      </c>
      <c r="L633">
        <v>0</v>
      </c>
      <c r="M633">
        <v>14.3992472309621</v>
      </c>
      <c r="N633">
        <v>115.548120197</v>
      </c>
      <c r="O633">
        <v>115.548182138179</v>
      </c>
      <c r="P633" t="s">
        <v>40</v>
      </c>
      <c r="Q633">
        <v>0</v>
      </c>
      <c r="R633" t="s">
        <v>50</v>
      </c>
      <c r="S633">
        <v>1985</v>
      </c>
      <c r="T633" t="s">
        <v>66</v>
      </c>
      <c r="U633" t="s">
        <v>51</v>
      </c>
      <c r="V633" t="s">
        <v>40</v>
      </c>
      <c r="W633" t="s">
        <v>40</v>
      </c>
      <c r="X633" t="s">
        <v>41</v>
      </c>
      <c r="Y633" t="s">
        <v>41</v>
      </c>
      <c r="Z633" t="s">
        <v>43</v>
      </c>
      <c r="AA633">
        <v>1840</v>
      </c>
      <c r="AB633" t="s">
        <v>1190</v>
      </c>
      <c r="AC633" t="s">
        <v>1191</v>
      </c>
      <c r="AD633" t="s">
        <v>1191</v>
      </c>
    </row>
    <row r="634" spans="1:30" x14ac:dyDescent="0.3">
      <c r="A634">
        <v>32830</v>
      </c>
      <c r="B634">
        <v>32830</v>
      </c>
      <c r="C634">
        <v>1</v>
      </c>
      <c r="D634" t="s">
        <v>1206</v>
      </c>
      <c r="E634" t="s">
        <v>1206</v>
      </c>
      <c r="F634" t="s">
        <v>130</v>
      </c>
      <c r="G634" t="s">
        <v>130</v>
      </c>
      <c r="H634" t="s">
        <v>39</v>
      </c>
      <c r="I634" t="s">
        <v>40</v>
      </c>
      <c r="J634" t="s">
        <v>41</v>
      </c>
      <c r="K634">
        <v>0</v>
      </c>
      <c r="L634">
        <v>0</v>
      </c>
      <c r="M634">
        <v>0.57456965269757398</v>
      </c>
      <c r="N634">
        <v>8.8991854310999905</v>
      </c>
      <c r="O634">
        <v>8.8992097977133806</v>
      </c>
      <c r="P634" t="s">
        <v>41</v>
      </c>
      <c r="Q634">
        <v>0</v>
      </c>
      <c r="R634" t="s">
        <v>50</v>
      </c>
      <c r="S634">
        <v>1980</v>
      </c>
      <c r="T634" t="s">
        <v>66</v>
      </c>
      <c r="U634" t="s">
        <v>51</v>
      </c>
      <c r="V634" t="s">
        <v>1189</v>
      </c>
      <c r="W634" t="s">
        <v>40</v>
      </c>
      <c r="X634" t="s">
        <v>41</v>
      </c>
      <c r="Y634" t="s">
        <v>41</v>
      </c>
      <c r="Z634" t="s">
        <v>43</v>
      </c>
      <c r="AA634">
        <v>1840</v>
      </c>
      <c r="AB634" t="s">
        <v>1190</v>
      </c>
      <c r="AC634" t="s">
        <v>1191</v>
      </c>
      <c r="AD634" t="s">
        <v>1191</v>
      </c>
    </row>
    <row r="635" spans="1:30" x14ac:dyDescent="0.3">
      <c r="A635">
        <v>902347</v>
      </c>
      <c r="B635">
        <v>902347</v>
      </c>
      <c r="C635">
        <v>1</v>
      </c>
      <c r="D635" t="s">
        <v>1207</v>
      </c>
      <c r="E635" t="s">
        <v>1208</v>
      </c>
      <c r="F635" t="s">
        <v>480</v>
      </c>
      <c r="G635" t="s">
        <v>480</v>
      </c>
      <c r="H635" t="s">
        <v>82</v>
      </c>
      <c r="I635" t="s">
        <v>41</v>
      </c>
      <c r="J635" t="s">
        <v>481</v>
      </c>
      <c r="K635">
        <v>0</v>
      </c>
      <c r="L635">
        <v>0</v>
      </c>
      <c r="M635">
        <v>27.192406918765801</v>
      </c>
      <c r="N635">
        <v>10947.42</v>
      </c>
      <c r="O635">
        <v>11017.2777374462</v>
      </c>
      <c r="P635" t="s">
        <v>41</v>
      </c>
      <c r="Q635">
        <v>0</v>
      </c>
      <c r="R635" t="s">
        <v>482</v>
      </c>
      <c r="S635">
        <v>2004</v>
      </c>
      <c r="T635" t="s">
        <v>66</v>
      </c>
      <c r="U635" t="s">
        <v>51</v>
      </c>
      <c r="V635" t="s">
        <v>1189</v>
      </c>
      <c r="W635" t="s">
        <v>40</v>
      </c>
      <c r="X635" t="s">
        <v>41</v>
      </c>
      <c r="Y635" t="s">
        <v>41</v>
      </c>
      <c r="Z635" t="s">
        <v>43</v>
      </c>
      <c r="AA635">
        <v>946</v>
      </c>
      <c r="AB635" t="s">
        <v>1209</v>
      </c>
      <c r="AC635" t="s">
        <v>1191</v>
      </c>
      <c r="AD635" t="s">
        <v>1191</v>
      </c>
    </row>
    <row r="636" spans="1:30" x14ac:dyDescent="0.3">
      <c r="A636">
        <v>555563633</v>
      </c>
      <c r="B636">
        <v>555563633</v>
      </c>
      <c r="C636">
        <v>1</v>
      </c>
      <c r="D636" t="s">
        <v>1210</v>
      </c>
      <c r="E636" t="s">
        <v>1210</v>
      </c>
      <c r="F636" t="s">
        <v>130</v>
      </c>
      <c r="G636" t="s">
        <v>130</v>
      </c>
      <c r="H636" t="s">
        <v>39</v>
      </c>
      <c r="I636" t="s">
        <v>40</v>
      </c>
      <c r="J636" t="s">
        <v>41</v>
      </c>
      <c r="K636">
        <v>0</v>
      </c>
      <c r="L636">
        <v>0</v>
      </c>
      <c r="M636">
        <v>0</v>
      </c>
      <c r="N636">
        <v>6.0094246947999999</v>
      </c>
      <c r="O636">
        <v>6.00946042816462</v>
      </c>
      <c r="P636" t="s">
        <v>41</v>
      </c>
      <c r="Q636">
        <v>0</v>
      </c>
      <c r="R636" t="s">
        <v>50</v>
      </c>
      <c r="S636">
        <v>1956</v>
      </c>
      <c r="T636" t="s">
        <v>1181</v>
      </c>
      <c r="U636" t="s">
        <v>1181</v>
      </c>
      <c r="V636" t="s">
        <v>1197</v>
      </c>
      <c r="W636" t="s">
        <v>40</v>
      </c>
      <c r="X636" t="s">
        <v>41</v>
      </c>
      <c r="Y636" t="s">
        <v>41</v>
      </c>
      <c r="Z636" t="s">
        <v>43</v>
      </c>
      <c r="AA636">
        <v>1840</v>
      </c>
      <c r="AB636" t="s">
        <v>1211</v>
      </c>
      <c r="AC636" t="s">
        <v>1191</v>
      </c>
      <c r="AD636" t="s">
        <v>1191</v>
      </c>
    </row>
    <row r="637" spans="1:30" x14ac:dyDescent="0.3">
      <c r="A637">
        <v>300662</v>
      </c>
      <c r="B637">
        <v>300662</v>
      </c>
      <c r="C637">
        <v>1</v>
      </c>
      <c r="D637" t="s">
        <v>1212</v>
      </c>
      <c r="E637" t="s">
        <v>1212</v>
      </c>
      <c r="F637" t="s">
        <v>130</v>
      </c>
      <c r="G637" t="s">
        <v>130</v>
      </c>
      <c r="H637" t="s">
        <v>39</v>
      </c>
      <c r="I637" t="s">
        <v>40</v>
      </c>
      <c r="J637" t="s">
        <v>41</v>
      </c>
      <c r="K637">
        <v>0</v>
      </c>
      <c r="L637">
        <v>0</v>
      </c>
      <c r="M637">
        <v>0</v>
      </c>
      <c r="N637">
        <v>0.113435552148</v>
      </c>
      <c r="O637">
        <v>0.113436130459458</v>
      </c>
      <c r="P637" t="s">
        <v>41</v>
      </c>
      <c r="Q637">
        <v>0</v>
      </c>
      <c r="R637" t="s">
        <v>50</v>
      </c>
      <c r="S637">
        <v>1958</v>
      </c>
      <c r="T637" t="s">
        <v>66</v>
      </c>
      <c r="U637" t="s">
        <v>51</v>
      </c>
      <c r="V637" t="s">
        <v>1213</v>
      </c>
      <c r="W637" t="s">
        <v>40</v>
      </c>
      <c r="X637" t="s">
        <v>41</v>
      </c>
      <c r="Y637" t="s">
        <v>41</v>
      </c>
      <c r="Z637" t="s">
        <v>43</v>
      </c>
      <c r="AA637">
        <v>1840</v>
      </c>
      <c r="AB637" t="s">
        <v>1200</v>
      </c>
      <c r="AC637" t="s">
        <v>1191</v>
      </c>
      <c r="AD637" t="s">
        <v>1191</v>
      </c>
    </row>
    <row r="638" spans="1:30" x14ac:dyDescent="0.3">
      <c r="A638">
        <v>555564130</v>
      </c>
      <c r="B638">
        <v>555564130</v>
      </c>
      <c r="C638">
        <v>1</v>
      </c>
      <c r="D638" t="s">
        <v>1214</v>
      </c>
      <c r="E638" t="s">
        <v>1214</v>
      </c>
      <c r="F638" t="s">
        <v>130</v>
      </c>
      <c r="G638" t="s">
        <v>130</v>
      </c>
      <c r="H638" t="s">
        <v>39</v>
      </c>
      <c r="I638" t="s">
        <v>40</v>
      </c>
      <c r="J638" t="s">
        <v>41</v>
      </c>
      <c r="K638">
        <v>0</v>
      </c>
      <c r="L638">
        <v>0</v>
      </c>
      <c r="M638">
        <v>0</v>
      </c>
      <c r="N638">
        <v>15.2403399276999</v>
      </c>
      <c r="O638">
        <v>15.240189347452301</v>
      </c>
      <c r="P638" t="s">
        <v>41</v>
      </c>
      <c r="Q638">
        <v>0</v>
      </c>
      <c r="R638" t="s">
        <v>50</v>
      </c>
      <c r="S638">
        <v>1960</v>
      </c>
      <c r="T638" t="s">
        <v>1181</v>
      </c>
      <c r="U638" t="s">
        <v>1181</v>
      </c>
      <c r="V638" t="s">
        <v>40</v>
      </c>
      <c r="W638" t="s">
        <v>40</v>
      </c>
      <c r="X638" t="s">
        <v>41</v>
      </c>
      <c r="Y638" t="s">
        <v>41</v>
      </c>
      <c r="Z638" t="s">
        <v>43</v>
      </c>
      <c r="AA638">
        <v>1840</v>
      </c>
      <c r="AB638" t="s">
        <v>1204</v>
      </c>
      <c r="AC638" t="s">
        <v>1191</v>
      </c>
      <c r="AD638" t="s">
        <v>1191</v>
      </c>
    </row>
    <row r="639" spans="1:30" x14ac:dyDescent="0.3">
      <c r="A639">
        <v>116401</v>
      </c>
      <c r="B639">
        <v>116401</v>
      </c>
      <c r="C639">
        <v>1</v>
      </c>
      <c r="D639" t="s">
        <v>1215</v>
      </c>
      <c r="E639" t="s">
        <v>1215</v>
      </c>
      <c r="F639" t="s">
        <v>1196</v>
      </c>
      <c r="G639" t="s">
        <v>1196</v>
      </c>
      <c r="H639" t="s">
        <v>39</v>
      </c>
      <c r="I639" t="s">
        <v>40</v>
      </c>
      <c r="J639" t="s">
        <v>41</v>
      </c>
      <c r="K639">
        <v>0</v>
      </c>
      <c r="L639">
        <v>0</v>
      </c>
      <c r="M639">
        <v>0</v>
      </c>
      <c r="N639">
        <v>516.04255154400005</v>
      </c>
      <c r="O639">
        <v>516.03829646910901</v>
      </c>
      <c r="P639" t="s">
        <v>41</v>
      </c>
      <c r="Q639">
        <v>0</v>
      </c>
      <c r="R639" t="s">
        <v>50</v>
      </c>
      <c r="S639">
        <v>1981</v>
      </c>
      <c r="T639" t="s">
        <v>1181</v>
      </c>
      <c r="U639" t="s">
        <v>1181</v>
      </c>
      <c r="V639" t="s">
        <v>1197</v>
      </c>
      <c r="W639" t="s">
        <v>40</v>
      </c>
      <c r="X639" t="s">
        <v>41</v>
      </c>
      <c r="Y639" t="s">
        <v>41</v>
      </c>
      <c r="Z639" t="s">
        <v>43</v>
      </c>
      <c r="AA639">
        <v>1840</v>
      </c>
      <c r="AB639" t="s">
        <v>1190</v>
      </c>
      <c r="AC639" t="s">
        <v>1191</v>
      </c>
      <c r="AD639" t="s">
        <v>1191</v>
      </c>
    </row>
    <row r="640" spans="1:30" x14ac:dyDescent="0.3">
      <c r="A640">
        <v>351679</v>
      </c>
      <c r="B640">
        <v>351679</v>
      </c>
      <c r="C640">
        <v>1</v>
      </c>
      <c r="D640" t="s">
        <v>1216</v>
      </c>
      <c r="E640" t="s">
        <v>1216</v>
      </c>
      <c r="F640" t="s">
        <v>1196</v>
      </c>
      <c r="G640" t="s">
        <v>1196</v>
      </c>
      <c r="H640" t="s">
        <v>39</v>
      </c>
      <c r="I640" t="s">
        <v>40</v>
      </c>
      <c r="J640" t="s">
        <v>41</v>
      </c>
      <c r="K640">
        <v>0</v>
      </c>
      <c r="L640">
        <v>0</v>
      </c>
      <c r="M640">
        <v>0</v>
      </c>
      <c r="N640">
        <v>513.25370466499896</v>
      </c>
      <c r="O640">
        <v>513.24876899144704</v>
      </c>
      <c r="P640" t="s">
        <v>41</v>
      </c>
      <c r="Q640">
        <v>0</v>
      </c>
      <c r="R640" t="s">
        <v>50</v>
      </c>
      <c r="S640">
        <v>1981</v>
      </c>
      <c r="T640" t="s">
        <v>1181</v>
      </c>
      <c r="U640" t="s">
        <v>1181</v>
      </c>
      <c r="V640" t="s">
        <v>1197</v>
      </c>
      <c r="W640" t="s">
        <v>40</v>
      </c>
      <c r="X640" t="s">
        <v>41</v>
      </c>
      <c r="Y640" t="s">
        <v>41</v>
      </c>
      <c r="Z640" t="s">
        <v>43</v>
      </c>
      <c r="AA640">
        <v>1840</v>
      </c>
      <c r="AB640" t="s">
        <v>1190</v>
      </c>
      <c r="AC640" t="s">
        <v>1191</v>
      </c>
      <c r="AD640" t="s">
        <v>1191</v>
      </c>
    </row>
    <row r="641" spans="1:30" x14ac:dyDescent="0.3">
      <c r="A641">
        <v>555563532</v>
      </c>
      <c r="B641">
        <v>555563532</v>
      </c>
      <c r="C641">
        <v>1</v>
      </c>
      <c r="D641" t="s">
        <v>1217</v>
      </c>
      <c r="E641" t="s">
        <v>1217</v>
      </c>
      <c r="F641" t="s">
        <v>1218</v>
      </c>
      <c r="G641" t="s">
        <v>1218</v>
      </c>
      <c r="H641" t="s">
        <v>39</v>
      </c>
      <c r="I641" t="s">
        <v>40</v>
      </c>
      <c r="J641" t="s">
        <v>41</v>
      </c>
      <c r="K641">
        <v>0</v>
      </c>
      <c r="L641">
        <v>0</v>
      </c>
      <c r="M641">
        <v>0</v>
      </c>
      <c r="N641">
        <v>41.0270302091999</v>
      </c>
      <c r="O641">
        <v>41.027092814007197</v>
      </c>
      <c r="P641" t="s">
        <v>41</v>
      </c>
      <c r="Q641">
        <v>0</v>
      </c>
      <c r="R641" t="s">
        <v>50</v>
      </c>
      <c r="S641">
        <v>1994</v>
      </c>
      <c r="T641" t="s">
        <v>66</v>
      </c>
      <c r="U641" t="s">
        <v>51</v>
      </c>
      <c r="V641" t="s">
        <v>1219</v>
      </c>
      <c r="W641" t="s">
        <v>40</v>
      </c>
      <c r="X641" t="s">
        <v>41</v>
      </c>
      <c r="Y641" t="s">
        <v>41</v>
      </c>
      <c r="Z641" t="s">
        <v>43</v>
      </c>
      <c r="AA641">
        <v>1840</v>
      </c>
      <c r="AB641" t="s">
        <v>1220</v>
      </c>
      <c r="AC641" t="s">
        <v>1191</v>
      </c>
      <c r="AD641" t="s">
        <v>1191</v>
      </c>
    </row>
    <row r="642" spans="1:30" x14ac:dyDescent="0.3">
      <c r="A642">
        <v>4026</v>
      </c>
      <c r="B642">
        <v>4026</v>
      </c>
      <c r="C642">
        <v>1</v>
      </c>
      <c r="D642" t="s">
        <v>1221</v>
      </c>
      <c r="E642" t="s">
        <v>1221</v>
      </c>
      <c r="F642" t="s">
        <v>130</v>
      </c>
      <c r="G642" t="s">
        <v>130</v>
      </c>
      <c r="H642" t="s">
        <v>39</v>
      </c>
      <c r="I642" t="s">
        <v>40</v>
      </c>
      <c r="J642" t="s">
        <v>41</v>
      </c>
      <c r="K642">
        <v>0</v>
      </c>
      <c r="L642">
        <v>0</v>
      </c>
      <c r="M642">
        <v>6.1266042178890001E-3</v>
      </c>
      <c r="N642">
        <v>23.0961319424</v>
      </c>
      <c r="O642">
        <v>23.0963202554716</v>
      </c>
      <c r="P642" t="s">
        <v>41</v>
      </c>
      <c r="Q642">
        <v>0</v>
      </c>
      <c r="R642" t="s">
        <v>50</v>
      </c>
      <c r="S642">
        <v>1994</v>
      </c>
      <c r="T642" t="s">
        <v>66</v>
      </c>
      <c r="U642" t="s">
        <v>51</v>
      </c>
      <c r="V642" t="s">
        <v>1189</v>
      </c>
      <c r="W642" t="s">
        <v>40</v>
      </c>
      <c r="X642" t="s">
        <v>41</v>
      </c>
      <c r="Y642" t="s">
        <v>41</v>
      </c>
      <c r="Z642" t="s">
        <v>43</v>
      </c>
      <c r="AA642">
        <v>1840</v>
      </c>
      <c r="AB642" t="s">
        <v>1190</v>
      </c>
      <c r="AC642" t="s">
        <v>1191</v>
      </c>
      <c r="AD642" t="s">
        <v>1191</v>
      </c>
    </row>
    <row r="643" spans="1:30" x14ac:dyDescent="0.3">
      <c r="A643">
        <v>7385</v>
      </c>
      <c r="B643">
        <v>7385</v>
      </c>
      <c r="C643">
        <v>1</v>
      </c>
      <c r="D643" t="s">
        <v>1222</v>
      </c>
      <c r="E643" t="s">
        <v>1222</v>
      </c>
      <c r="F643" t="s">
        <v>130</v>
      </c>
      <c r="G643" t="s">
        <v>130</v>
      </c>
      <c r="H643" t="s">
        <v>39</v>
      </c>
      <c r="I643" t="s">
        <v>40</v>
      </c>
      <c r="J643" t="s">
        <v>41</v>
      </c>
      <c r="K643">
        <v>0</v>
      </c>
      <c r="L643">
        <v>0</v>
      </c>
      <c r="M643">
        <v>0</v>
      </c>
      <c r="N643">
        <v>29.8521915335999</v>
      </c>
      <c r="O643">
        <v>29.851890328716301</v>
      </c>
      <c r="P643" t="s">
        <v>41</v>
      </c>
      <c r="Q643">
        <v>0</v>
      </c>
      <c r="R643" t="s">
        <v>50</v>
      </c>
      <c r="S643">
        <v>1954</v>
      </c>
      <c r="T643" t="s">
        <v>66</v>
      </c>
      <c r="U643" t="s">
        <v>51</v>
      </c>
      <c r="V643" t="s">
        <v>1223</v>
      </c>
      <c r="W643" t="s">
        <v>40</v>
      </c>
      <c r="X643" t="s">
        <v>41</v>
      </c>
      <c r="Y643" t="s">
        <v>41</v>
      </c>
      <c r="Z643" t="s">
        <v>43</v>
      </c>
      <c r="AA643">
        <v>1840</v>
      </c>
      <c r="AB643" t="s">
        <v>1204</v>
      </c>
      <c r="AC643" t="s">
        <v>1191</v>
      </c>
      <c r="AD643" t="s">
        <v>1191</v>
      </c>
    </row>
    <row r="644" spans="1:30" x14ac:dyDescent="0.3">
      <c r="A644">
        <v>26036</v>
      </c>
      <c r="B644">
        <v>26036</v>
      </c>
      <c r="C644">
        <v>1</v>
      </c>
      <c r="D644" t="s">
        <v>1224</v>
      </c>
      <c r="E644" t="s">
        <v>1224</v>
      </c>
      <c r="F644" t="s">
        <v>130</v>
      </c>
      <c r="G644" t="s">
        <v>130</v>
      </c>
      <c r="H644" t="s">
        <v>39</v>
      </c>
      <c r="I644" t="s">
        <v>40</v>
      </c>
      <c r="J644" t="s">
        <v>41</v>
      </c>
      <c r="K644">
        <v>0</v>
      </c>
      <c r="L644">
        <v>0</v>
      </c>
      <c r="M644">
        <v>0</v>
      </c>
      <c r="N644">
        <v>0.93303877927599999</v>
      </c>
      <c r="O644">
        <v>0.93303813111010603</v>
      </c>
      <c r="P644" t="s">
        <v>41</v>
      </c>
      <c r="Q644">
        <v>0</v>
      </c>
      <c r="R644" t="s">
        <v>50</v>
      </c>
      <c r="S644">
        <v>1960</v>
      </c>
      <c r="T644" t="s">
        <v>66</v>
      </c>
      <c r="U644" t="s">
        <v>51</v>
      </c>
      <c r="V644" t="s">
        <v>1219</v>
      </c>
      <c r="W644" t="s">
        <v>40</v>
      </c>
      <c r="X644" t="s">
        <v>41</v>
      </c>
      <c r="Y644" t="s">
        <v>41</v>
      </c>
      <c r="Z644" t="s">
        <v>43</v>
      </c>
      <c r="AA644">
        <v>1840</v>
      </c>
      <c r="AB644" t="s">
        <v>1194</v>
      </c>
      <c r="AC644" t="s">
        <v>1191</v>
      </c>
      <c r="AD644" t="s">
        <v>1191</v>
      </c>
    </row>
    <row r="645" spans="1:30" x14ac:dyDescent="0.3">
      <c r="A645">
        <v>32879</v>
      </c>
      <c r="B645">
        <v>32879</v>
      </c>
      <c r="C645">
        <v>1</v>
      </c>
      <c r="D645" t="s">
        <v>1225</v>
      </c>
      <c r="E645" t="s">
        <v>1225</v>
      </c>
      <c r="F645" t="s">
        <v>130</v>
      </c>
      <c r="G645" t="s">
        <v>130</v>
      </c>
      <c r="H645" t="s">
        <v>39</v>
      </c>
      <c r="I645" t="s">
        <v>40</v>
      </c>
      <c r="J645" t="s">
        <v>41</v>
      </c>
      <c r="K645">
        <v>0</v>
      </c>
      <c r="L645">
        <v>0</v>
      </c>
      <c r="M645">
        <v>0</v>
      </c>
      <c r="N645">
        <v>133.371680290999</v>
      </c>
      <c r="O645">
        <v>133.37195183423501</v>
      </c>
      <c r="P645" t="s">
        <v>41</v>
      </c>
      <c r="Q645">
        <v>0</v>
      </c>
      <c r="R645" t="s">
        <v>50</v>
      </c>
      <c r="S645">
        <v>1987</v>
      </c>
      <c r="T645" t="s">
        <v>66</v>
      </c>
      <c r="U645" t="s">
        <v>51</v>
      </c>
      <c r="V645" t="s">
        <v>1226</v>
      </c>
      <c r="W645" t="s">
        <v>40</v>
      </c>
      <c r="X645" t="s">
        <v>41</v>
      </c>
      <c r="Y645" t="s">
        <v>41</v>
      </c>
      <c r="Z645" t="s">
        <v>43</v>
      </c>
      <c r="AA645">
        <v>1840</v>
      </c>
      <c r="AB645" t="s">
        <v>1227</v>
      </c>
      <c r="AC645" t="s">
        <v>1191</v>
      </c>
      <c r="AD645" t="s">
        <v>1191</v>
      </c>
    </row>
    <row r="646" spans="1:30" x14ac:dyDescent="0.3">
      <c r="A646">
        <v>300632</v>
      </c>
      <c r="B646">
        <v>300632</v>
      </c>
      <c r="C646">
        <v>1</v>
      </c>
      <c r="D646" t="s">
        <v>1228</v>
      </c>
      <c r="E646" t="s">
        <v>1228</v>
      </c>
      <c r="F646" t="s">
        <v>130</v>
      </c>
      <c r="G646" t="s">
        <v>130</v>
      </c>
      <c r="H646" t="s">
        <v>39</v>
      </c>
      <c r="I646" t="s">
        <v>40</v>
      </c>
      <c r="J646" t="s">
        <v>41</v>
      </c>
      <c r="K646">
        <v>0</v>
      </c>
      <c r="L646">
        <v>0</v>
      </c>
      <c r="M646">
        <v>0</v>
      </c>
      <c r="N646">
        <v>20.4327178270999</v>
      </c>
      <c r="O646">
        <v>20.4327467281243</v>
      </c>
      <c r="P646" t="s">
        <v>41</v>
      </c>
      <c r="Q646">
        <v>0</v>
      </c>
      <c r="R646" t="s">
        <v>50</v>
      </c>
      <c r="S646">
        <v>1957</v>
      </c>
      <c r="T646" t="s">
        <v>66</v>
      </c>
      <c r="U646" t="s">
        <v>51</v>
      </c>
      <c r="V646" t="s">
        <v>1229</v>
      </c>
      <c r="W646" t="s">
        <v>40</v>
      </c>
      <c r="X646" t="s">
        <v>41</v>
      </c>
      <c r="Y646" t="s">
        <v>41</v>
      </c>
      <c r="Z646" t="s">
        <v>43</v>
      </c>
      <c r="AA646">
        <v>1840</v>
      </c>
      <c r="AB646" t="s">
        <v>1200</v>
      </c>
      <c r="AC646" t="s">
        <v>1191</v>
      </c>
      <c r="AD646" t="s">
        <v>1191</v>
      </c>
    </row>
    <row r="647" spans="1:30" x14ac:dyDescent="0.3">
      <c r="A647">
        <v>351655</v>
      </c>
      <c r="B647">
        <v>351655</v>
      </c>
      <c r="C647">
        <v>1</v>
      </c>
      <c r="D647" t="s">
        <v>1230</v>
      </c>
      <c r="E647" t="s">
        <v>1230</v>
      </c>
      <c r="F647" t="s">
        <v>130</v>
      </c>
      <c r="G647" t="s">
        <v>130</v>
      </c>
      <c r="H647" t="s">
        <v>39</v>
      </c>
      <c r="I647" t="s">
        <v>40</v>
      </c>
      <c r="J647" t="s">
        <v>41</v>
      </c>
      <c r="K647">
        <v>0</v>
      </c>
      <c r="L647">
        <v>0</v>
      </c>
      <c r="M647">
        <v>0</v>
      </c>
      <c r="N647">
        <v>2.9972623026199998</v>
      </c>
      <c r="O647">
        <v>2.9972666777491801</v>
      </c>
      <c r="P647" t="s">
        <v>41</v>
      </c>
      <c r="Q647">
        <v>0</v>
      </c>
      <c r="R647" t="s">
        <v>50</v>
      </c>
      <c r="S647">
        <v>1963</v>
      </c>
      <c r="T647" t="s">
        <v>66</v>
      </c>
      <c r="U647" t="s">
        <v>51</v>
      </c>
      <c r="V647" t="s">
        <v>1231</v>
      </c>
      <c r="W647" t="s">
        <v>40</v>
      </c>
      <c r="X647" t="s">
        <v>41</v>
      </c>
      <c r="Y647" t="s">
        <v>41</v>
      </c>
      <c r="Z647" t="s">
        <v>43</v>
      </c>
      <c r="AA647">
        <v>1840</v>
      </c>
      <c r="AB647" t="s">
        <v>1220</v>
      </c>
      <c r="AC647" t="s">
        <v>1191</v>
      </c>
      <c r="AD647" t="s">
        <v>1191</v>
      </c>
    </row>
    <row r="648" spans="1:30" x14ac:dyDescent="0.3">
      <c r="A648">
        <v>555563551</v>
      </c>
      <c r="B648">
        <v>555563551</v>
      </c>
      <c r="C648">
        <v>1</v>
      </c>
      <c r="D648" t="s">
        <v>1232</v>
      </c>
      <c r="E648" t="s">
        <v>1232</v>
      </c>
      <c r="F648" t="s">
        <v>130</v>
      </c>
      <c r="G648" t="s">
        <v>130</v>
      </c>
      <c r="H648" t="s">
        <v>39</v>
      </c>
      <c r="I648" t="s">
        <v>40</v>
      </c>
      <c r="J648" t="s">
        <v>41</v>
      </c>
      <c r="K648">
        <v>0</v>
      </c>
      <c r="L648">
        <v>0</v>
      </c>
      <c r="M648">
        <v>0</v>
      </c>
      <c r="N648">
        <v>3.4438027812000001</v>
      </c>
      <c r="O648">
        <v>3.4438555103251001</v>
      </c>
      <c r="P648" t="s">
        <v>41</v>
      </c>
      <c r="Q648">
        <v>0</v>
      </c>
      <c r="R648" t="s">
        <v>50</v>
      </c>
      <c r="S648">
        <v>1955</v>
      </c>
      <c r="T648" t="s">
        <v>1181</v>
      </c>
      <c r="U648" t="s">
        <v>1181</v>
      </c>
      <c r="V648" t="s">
        <v>1197</v>
      </c>
      <c r="W648" t="s">
        <v>40</v>
      </c>
      <c r="X648" t="s">
        <v>41</v>
      </c>
      <c r="Y648" t="s">
        <v>41</v>
      </c>
      <c r="Z648" t="s">
        <v>43</v>
      </c>
      <c r="AA648">
        <v>1840</v>
      </c>
      <c r="AB648" t="s">
        <v>1211</v>
      </c>
      <c r="AC648" t="s">
        <v>1191</v>
      </c>
      <c r="AD648" t="s">
        <v>1191</v>
      </c>
    </row>
    <row r="649" spans="1:30" x14ac:dyDescent="0.3">
      <c r="A649">
        <v>555563574</v>
      </c>
      <c r="B649">
        <v>555563574</v>
      </c>
      <c r="C649">
        <v>1</v>
      </c>
      <c r="D649" t="s">
        <v>1233</v>
      </c>
      <c r="E649" t="s">
        <v>1233</v>
      </c>
      <c r="F649" t="s">
        <v>130</v>
      </c>
      <c r="G649" t="s">
        <v>130</v>
      </c>
      <c r="H649" t="s">
        <v>39</v>
      </c>
      <c r="I649" t="s">
        <v>40</v>
      </c>
      <c r="J649" t="s">
        <v>41</v>
      </c>
      <c r="K649">
        <v>0</v>
      </c>
      <c r="L649">
        <v>0</v>
      </c>
      <c r="M649">
        <v>0</v>
      </c>
      <c r="N649">
        <v>37.828236183900003</v>
      </c>
      <c r="O649">
        <v>37.829137353660002</v>
      </c>
      <c r="P649" t="s">
        <v>41</v>
      </c>
      <c r="Q649">
        <v>0</v>
      </c>
      <c r="R649" t="s">
        <v>50</v>
      </c>
      <c r="S649">
        <v>1967</v>
      </c>
      <c r="T649" t="s">
        <v>1181</v>
      </c>
      <c r="U649" t="s">
        <v>1181</v>
      </c>
      <c r="V649" t="s">
        <v>40</v>
      </c>
      <c r="W649" t="s">
        <v>40</v>
      </c>
      <c r="X649" t="s">
        <v>41</v>
      </c>
      <c r="Y649" t="s">
        <v>41</v>
      </c>
      <c r="Z649" t="s">
        <v>43</v>
      </c>
      <c r="AA649">
        <v>1840</v>
      </c>
      <c r="AB649" t="s">
        <v>1204</v>
      </c>
      <c r="AC649" t="s">
        <v>1191</v>
      </c>
      <c r="AD649" t="s">
        <v>1191</v>
      </c>
    </row>
    <row r="650" spans="1:30" x14ac:dyDescent="0.3">
      <c r="A650">
        <v>555563600</v>
      </c>
      <c r="B650">
        <v>555563600</v>
      </c>
      <c r="C650">
        <v>1</v>
      </c>
      <c r="D650" t="s">
        <v>1234</v>
      </c>
      <c r="E650" t="s">
        <v>1234</v>
      </c>
      <c r="F650" t="s">
        <v>130</v>
      </c>
      <c r="G650" t="s">
        <v>130</v>
      </c>
      <c r="H650" t="s">
        <v>39</v>
      </c>
      <c r="I650" t="s">
        <v>40</v>
      </c>
      <c r="J650" t="s">
        <v>41</v>
      </c>
      <c r="K650">
        <v>0</v>
      </c>
      <c r="L650">
        <v>0</v>
      </c>
      <c r="M650">
        <v>0</v>
      </c>
      <c r="N650">
        <v>26.684095308500002</v>
      </c>
      <c r="O650">
        <v>26.685382116070201</v>
      </c>
      <c r="P650" t="s">
        <v>41</v>
      </c>
      <c r="Q650">
        <v>0</v>
      </c>
      <c r="R650" t="s">
        <v>50</v>
      </c>
      <c r="S650">
        <v>1965</v>
      </c>
      <c r="T650" t="s">
        <v>1181</v>
      </c>
      <c r="U650" t="s">
        <v>1181</v>
      </c>
      <c r="V650" t="s">
        <v>40</v>
      </c>
      <c r="W650" t="s">
        <v>40</v>
      </c>
      <c r="X650" t="s">
        <v>41</v>
      </c>
      <c r="Y650" t="s">
        <v>41</v>
      </c>
      <c r="Z650" t="s">
        <v>43</v>
      </c>
      <c r="AA650">
        <v>1840</v>
      </c>
      <c r="AB650" t="s">
        <v>1204</v>
      </c>
      <c r="AC650" t="s">
        <v>1191</v>
      </c>
      <c r="AD650" t="s">
        <v>1191</v>
      </c>
    </row>
    <row r="651" spans="1:30" x14ac:dyDescent="0.3">
      <c r="A651">
        <v>555563629</v>
      </c>
      <c r="B651">
        <v>555563629</v>
      </c>
      <c r="C651">
        <v>1</v>
      </c>
      <c r="D651" t="s">
        <v>1235</v>
      </c>
      <c r="E651" t="s">
        <v>1235</v>
      </c>
      <c r="F651" t="s">
        <v>130</v>
      </c>
      <c r="G651" t="s">
        <v>130</v>
      </c>
      <c r="H651" t="s">
        <v>39</v>
      </c>
      <c r="I651" t="s">
        <v>40</v>
      </c>
      <c r="J651" t="s">
        <v>41</v>
      </c>
      <c r="K651">
        <v>0</v>
      </c>
      <c r="L651">
        <v>0</v>
      </c>
      <c r="M651">
        <v>7.7656968092864001E-2</v>
      </c>
      <c r="N651">
        <v>62.7153419330999</v>
      </c>
      <c r="O651">
        <v>62.715395768436899</v>
      </c>
      <c r="P651" t="s">
        <v>41</v>
      </c>
      <c r="Q651">
        <v>0</v>
      </c>
      <c r="R651" t="s">
        <v>50</v>
      </c>
      <c r="S651">
        <v>1984</v>
      </c>
      <c r="T651" t="s">
        <v>66</v>
      </c>
      <c r="U651" t="s">
        <v>51</v>
      </c>
      <c r="V651" t="s">
        <v>1236</v>
      </c>
      <c r="W651" t="s">
        <v>40</v>
      </c>
      <c r="X651" t="s">
        <v>41</v>
      </c>
      <c r="Y651" t="s">
        <v>41</v>
      </c>
      <c r="Z651" t="s">
        <v>43</v>
      </c>
      <c r="AA651">
        <v>1840</v>
      </c>
      <c r="AB651" t="s">
        <v>1190</v>
      </c>
      <c r="AC651" t="s">
        <v>1191</v>
      </c>
      <c r="AD651" t="s">
        <v>1191</v>
      </c>
    </row>
    <row r="652" spans="1:30" x14ac:dyDescent="0.3">
      <c r="A652">
        <v>555563642</v>
      </c>
      <c r="B652">
        <v>555563642</v>
      </c>
      <c r="C652">
        <v>1</v>
      </c>
      <c r="D652" t="s">
        <v>1237</v>
      </c>
      <c r="E652" t="s">
        <v>1237</v>
      </c>
      <c r="F652" t="s">
        <v>130</v>
      </c>
      <c r="G652" t="s">
        <v>130</v>
      </c>
      <c r="H652" t="s">
        <v>39</v>
      </c>
      <c r="I652" t="s">
        <v>40</v>
      </c>
      <c r="J652" t="s">
        <v>41</v>
      </c>
      <c r="K652">
        <v>0</v>
      </c>
      <c r="L652">
        <v>0</v>
      </c>
      <c r="M652">
        <v>0</v>
      </c>
      <c r="N652">
        <v>0.657352149479</v>
      </c>
      <c r="O652">
        <v>0.65735589234014502</v>
      </c>
      <c r="P652" t="s">
        <v>41</v>
      </c>
      <c r="Q652">
        <v>0</v>
      </c>
      <c r="R652" t="s">
        <v>50</v>
      </c>
      <c r="S652">
        <v>2014</v>
      </c>
      <c r="T652" t="s">
        <v>66</v>
      </c>
      <c r="U652" t="s">
        <v>51</v>
      </c>
      <c r="V652" t="s">
        <v>1199</v>
      </c>
      <c r="W652" t="s">
        <v>40</v>
      </c>
      <c r="X652" t="s">
        <v>41</v>
      </c>
      <c r="Y652" t="s">
        <v>41</v>
      </c>
      <c r="Z652" t="s">
        <v>43</v>
      </c>
      <c r="AA652">
        <v>1840</v>
      </c>
      <c r="AB652" t="s">
        <v>1200</v>
      </c>
      <c r="AC652" t="s">
        <v>1191</v>
      </c>
      <c r="AD652" t="s">
        <v>1191</v>
      </c>
    </row>
    <row r="653" spans="1:30" x14ac:dyDescent="0.3">
      <c r="A653">
        <v>555563868</v>
      </c>
      <c r="B653">
        <v>555563868</v>
      </c>
      <c r="C653">
        <v>1</v>
      </c>
      <c r="D653" t="s">
        <v>1238</v>
      </c>
      <c r="E653" t="s">
        <v>1238</v>
      </c>
      <c r="F653" t="s">
        <v>130</v>
      </c>
      <c r="G653" t="s">
        <v>130</v>
      </c>
      <c r="H653" t="s">
        <v>39</v>
      </c>
      <c r="I653" t="s">
        <v>40</v>
      </c>
      <c r="J653" t="s">
        <v>41</v>
      </c>
      <c r="K653">
        <v>0</v>
      </c>
      <c r="L653">
        <v>0</v>
      </c>
      <c r="M653">
        <v>0</v>
      </c>
      <c r="N653">
        <v>3.7910893516700002</v>
      </c>
      <c r="O653">
        <v>3.7909159152188701</v>
      </c>
      <c r="P653" t="s">
        <v>41</v>
      </c>
      <c r="Q653">
        <v>0</v>
      </c>
      <c r="R653" t="s">
        <v>50</v>
      </c>
      <c r="S653">
        <v>1967</v>
      </c>
      <c r="T653" t="s">
        <v>1181</v>
      </c>
      <c r="U653" t="s">
        <v>1181</v>
      </c>
      <c r="V653" t="s">
        <v>40</v>
      </c>
      <c r="W653" t="s">
        <v>40</v>
      </c>
      <c r="X653" t="s">
        <v>41</v>
      </c>
      <c r="Y653" t="s">
        <v>41</v>
      </c>
      <c r="Z653" t="s">
        <v>43</v>
      </c>
      <c r="AA653">
        <v>1840</v>
      </c>
      <c r="AB653" t="s">
        <v>1204</v>
      </c>
      <c r="AC653" t="s">
        <v>1191</v>
      </c>
      <c r="AD653" t="s">
        <v>1191</v>
      </c>
    </row>
    <row r="654" spans="1:30" x14ac:dyDescent="0.3">
      <c r="A654">
        <v>555563725</v>
      </c>
      <c r="B654">
        <v>555563725</v>
      </c>
      <c r="C654">
        <v>1</v>
      </c>
      <c r="D654" t="s">
        <v>1239</v>
      </c>
      <c r="E654" t="s">
        <v>1239</v>
      </c>
      <c r="F654" t="s">
        <v>130</v>
      </c>
      <c r="G654" t="s">
        <v>130</v>
      </c>
      <c r="H654" t="s">
        <v>39</v>
      </c>
      <c r="I654" t="s">
        <v>40</v>
      </c>
      <c r="J654" t="s">
        <v>41</v>
      </c>
      <c r="K654">
        <v>0</v>
      </c>
      <c r="L654">
        <v>0</v>
      </c>
      <c r="M654">
        <v>0</v>
      </c>
      <c r="N654">
        <v>15.1425469256</v>
      </c>
      <c r="O654">
        <v>15.1424121547794</v>
      </c>
      <c r="P654" t="s">
        <v>41</v>
      </c>
      <c r="Q654">
        <v>0</v>
      </c>
      <c r="R654" t="s">
        <v>50</v>
      </c>
      <c r="S654">
        <v>1967</v>
      </c>
      <c r="T654" t="s">
        <v>1181</v>
      </c>
      <c r="U654" t="s">
        <v>1181</v>
      </c>
      <c r="V654" t="s">
        <v>40</v>
      </c>
      <c r="W654" t="s">
        <v>40</v>
      </c>
      <c r="X654" t="s">
        <v>41</v>
      </c>
      <c r="Y654" t="s">
        <v>41</v>
      </c>
      <c r="Z654" t="s">
        <v>43</v>
      </c>
      <c r="AA654">
        <v>1840</v>
      </c>
      <c r="AB654" t="s">
        <v>1204</v>
      </c>
      <c r="AC654" t="s">
        <v>1191</v>
      </c>
      <c r="AD654" t="s">
        <v>1191</v>
      </c>
    </row>
    <row r="655" spans="1:30" x14ac:dyDescent="0.3">
      <c r="A655">
        <v>555563735</v>
      </c>
      <c r="B655">
        <v>555563735</v>
      </c>
      <c r="C655">
        <v>1</v>
      </c>
      <c r="D655" t="s">
        <v>1240</v>
      </c>
      <c r="E655" t="s">
        <v>1240</v>
      </c>
      <c r="F655" t="s">
        <v>130</v>
      </c>
      <c r="G655" t="s">
        <v>130</v>
      </c>
      <c r="H655" t="s">
        <v>39</v>
      </c>
      <c r="I655" t="s">
        <v>40</v>
      </c>
      <c r="J655" t="s">
        <v>41</v>
      </c>
      <c r="K655">
        <v>0</v>
      </c>
      <c r="L655">
        <v>0</v>
      </c>
      <c r="M655">
        <v>0</v>
      </c>
      <c r="N655">
        <v>16.2903891578</v>
      </c>
      <c r="O655">
        <v>16.290475806416701</v>
      </c>
      <c r="P655" t="s">
        <v>41</v>
      </c>
      <c r="Q655">
        <v>0</v>
      </c>
      <c r="R655" t="s">
        <v>50</v>
      </c>
      <c r="S655">
        <v>1958</v>
      </c>
      <c r="T655" t="s">
        <v>1181</v>
      </c>
      <c r="U655" t="s">
        <v>1181</v>
      </c>
      <c r="V655" t="s">
        <v>40</v>
      </c>
      <c r="W655" t="s">
        <v>40</v>
      </c>
      <c r="X655" t="s">
        <v>41</v>
      </c>
      <c r="Y655" t="s">
        <v>41</v>
      </c>
      <c r="Z655" t="s">
        <v>43</v>
      </c>
      <c r="AA655">
        <v>1840</v>
      </c>
      <c r="AB655" t="s">
        <v>1204</v>
      </c>
      <c r="AC655" t="s">
        <v>1191</v>
      </c>
      <c r="AD655" t="s">
        <v>1191</v>
      </c>
    </row>
    <row r="656" spans="1:30" x14ac:dyDescent="0.3">
      <c r="A656">
        <v>555563745</v>
      </c>
      <c r="B656">
        <v>555563745</v>
      </c>
      <c r="C656">
        <v>1</v>
      </c>
      <c r="D656" t="s">
        <v>1241</v>
      </c>
      <c r="E656" t="s">
        <v>1241</v>
      </c>
      <c r="F656" t="s">
        <v>130</v>
      </c>
      <c r="G656" t="s">
        <v>130</v>
      </c>
      <c r="H656" t="s">
        <v>39</v>
      </c>
      <c r="I656" t="s">
        <v>40</v>
      </c>
      <c r="J656" t="s">
        <v>41</v>
      </c>
      <c r="K656">
        <v>0</v>
      </c>
      <c r="L656">
        <v>0</v>
      </c>
      <c r="M656">
        <v>0</v>
      </c>
      <c r="N656">
        <v>0.16195491026700001</v>
      </c>
      <c r="O656">
        <v>0.16195491025902201</v>
      </c>
      <c r="P656" t="s">
        <v>41</v>
      </c>
      <c r="Q656">
        <v>0</v>
      </c>
      <c r="R656" t="s">
        <v>50</v>
      </c>
      <c r="S656">
        <v>1972</v>
      </c>
      <c r="T656" t="s">
        <v>66</v>
      </c>
      <c r="U656" t="s">
        <v>51</v>
      </c>
      <c r="V656" t="s">
        <v>1242</v>
      </c>
      <c r="W656" t="s">
        <v>40</v>
      </c>
      <c r="X656" t="s">
        <v>41</v>
      </c>
      <c r="Y656" t="s">
        <v>41</v>
      </c>
      <c r="Z656" t="s">
        <v>43</v>
      </c>
      <c r="AA656">
        <v>1840</v>
      </c>
      <c r="AB656" t="s">
        <v>1190</v>
      </c>
      <c r="AC656" t="s">
        <v>1191</v>
      </c>
      <c r="AD656" t="s">
        <v>1191</v>
      </c>
    </row>
    <row r="657" spans="1:30" x14ac:dyDescent="0.3">
      <c r="A657">
        <v>555563885</v>
      </c>
      <c r="B657">
        <v>555563885</v>
      </c>
      <c r="C657">
        <v>1</v>
      </c>
      <c r="D657" t="s">
        <v>1243</v>
      </c>
      <c r="E657" t="s">
        <v>1243</v>
      </c>
      <c r="F657" t="s">
        <v>130</v>
      </c>
      <c r="G657" t="s">
        <v>130</v>
      </c>
      <c r="H657" t="s">
        <v>39</v>
      </c>
      <c r="I657" t="s">
        <v>40</v>
      </c>
      <c r="J657" t="s">
        <v>41</v>
      </c>
      <c r="K657">
        <v>0</v>
      </c>
      <c r="L657">
        <v>0</v>
      </c>
      <c r="M657">
        <v>0</v>
      </c>
      <c r="N657">
        <v>4.7069647669799997</v>
      </c>
      <c r="O657">
        <v>4.7070260795330503</v>
      </c>
      <c r="P657" t="s">
        <v>41</v>
      </c>
      <c r="Q657">
        <v>0</v>
      </c>
      <c r="R657" t="s">
        <v>50</v>
      </c>
      <c r="S657">
        <v>1993</v>
      </c>
      <c r="T657" t="s">
        <v>66</v>
      </c>
      <c r="U657" t="s">
        <v>51</v>
      </c>
      <c r="V657" t="s">
        <v>1244</v>
      </c>
      <c r="W657" t="s">
        <v>40</v>
      </c>
      <c r="X657" t="s">
        <v>41</v>
      </c>
      <c r="Y657" t="s">
        <v>41</v>
      </c>
      <c r="Z657" t="s">
        <v>43</v>
      </c>
      <c r="AA657">
        <v>1840</v>
      </c>
      <c r="AB657" t="s">
        <v>1227</v>
      </c>
      <c r="AC657" t="s">
        <v>1191</v>
      </c>
      <c r="AD657" t="s">
        <v>1191</v>
      </c>
    </row>
    <row r="658" spans="1:30" x14ac:dyDescent="0.3">
      <c r="A658">
        <v>555563954</v>
      </c>
      <c r="B658">
        <v>555563954</v>
      </c>
      <c r="C658">
        <v>1</v>
      </c>
      <c r="D658" t="s">
        <v>1245</v>
      </c>
      <c r="E658" t="s">
        <v>1245</v>
      </c>
      <c r="F658" t="s">
        <v>130</v>
      </c>
      <c r="G658" t="s">
        <v>130</v>
      </c>
      <c r="H658" t="s">
        <v>39</v>
      </c>
      <c r="I658" t="s">
        <v>40</v>
      </c>
      <c r="J658" t="s">
        <v>41</v>
      </c>
      <c r="K658">
        <v>0</v>
      </c>
      <c r="L658">
        <v>0</v>
      </c>
      <c r="M658">
        <v>0</v>
      </c>
      <c r="N658">
        <v>46.712004199299898</v>
      </c>
      <c r="O658">
        <v>46.7106516371949</v>
      </c>
      <c r="P658" t="s">
        <v>41</v>
      </c>
      <c r="Q658">
        <v>0</v>
      </c>
      <c r="R658" t="s">
        <v>50</v>
      </c>
      <c r="S658">
        <v>1969</v>
      </c>
      <c r="T658" t="s">
        <v>1181</v>
      </c>
      <c r="U658" t="s">
        <v>1181</v>
      </c>
      <c r="V658" t="s">
        <v>40</v>
      </c>
      <c r="W658" t="s">
        <v>40</v>
      </c>
      <c r="X658" t="s">
        <v>41</v>
      </c>
      <c r="Y658" t="s">
        <v>41</v>
      </c>
      <c r="Z658" t="s">
        <v>43</v>
      </c>
      <c r="AA658">
        <v>1840</v>
      </c>
      <c r="AB658" t="s">
        <v>1204</v>
      </c>
      <c r="AC658" t="s">
        <v>1191</v>
      </c>
      <c r="AD658" t="s">
        <v>1191</v>
      </c>
    </row>
    <row r="659" spans="1:30" x14ac:dyDescent="0.3">
      <c r="A659">
        <v>555563980</v>
      </c>
      <c r="B659">
        <v>555563980</v>
      </c>
      <c r="C659">
        <v>1</v>
      </c>
      <c r="D659" t="s">
        <v>1246</v>
      </c>
      <c r="E659" t="s">
        <v>1246</v>
      </c>
      <c r="F659" t="s">
        <v>130</v>
      </c>
      <c r="G659" t="s">
        <v>130</v>
      </c>
      <c r="H659" t="s">
        <v>39</v>
      </c>
      <c r="I659" t="s">
        <v>40</v>
      </c>
      <c r="J659" t="s">
        <v>41</v>
      </c>
      <c r="K659">
        <v>0</v>
      </c>
      <c r="L659">
        <v>0</v>
      </c>
      <c r="M659">
        <v>0</v>
      </c>
      <c r="N659">
        <v>3.77318900164</v>
      </c>
      <c r="O659">
        <v>3.7731797855238098</v>
      </c>
      <c r="P659" t="s">
        <v>41</v>
      </c>
      <c r="Q659">
        <v>0</v>
      </c>
      <c r="R659" t="s">
        <v>50</v>
      </c>
      <c r="S659">
        <v>1961</v>
      </c>
      <c r="T659" t="s">
        <v>1181</v>
      </c>
      <c r="U659" t="s">
        <v>1181</v>
      </c>
      <c r="V659" t="s">
        <v>1197</v>
      </c>
      <c r="W659" t="s">
        <v>40</v>
      </c>
      <c r="X659" t="s">
        <v>41</v>
      </c>
      <c r="Y659" t="s">
        <v>41</v>
      </c>
      <c r="Z659" t="s">
        <v>43</v>
      </c>
      <c r="AA659">
        <v>1840</v>
      </c>
      <c r="AB659" t="s">
        <v>1211</v>
      </c>
      <c r="AC659" t="s">
        <v>1191</v>
      </c>
      <c r="AD659" t="s">
        <v>1191</v>
      </c>
    </row>
    <row r="660" spans="1:30" x14ac:dyDescent="0.3">
      <c r="A660">
        <v>555564108</v>
      </c>
      <c r="B660">
        <v>555564108</v>
      </c>
      <c r="C660">
        <v>1</v>
      </c>
      <c r="D660" t="s">
        <v>1247</v>
      </c>
      <c r="E660" t="s">
        <v>1247</v>
      </c>
      <c r="F660" t="s">
        <v>130</v>
      </c>
      <c r="G660" t="s">
        <v>130</v>
      </c>
      <c r="H660" t="s">
        <v>39</v>
      </c>
      <c r="I660" t="s">
        <v>40</v>
      </c>
      <c r="J660" t="s">
        <v>41</v>
      </c>
      <c r="K660">
        <v>0</v>
      </c>
      <c r="L660">
        <v>0</v>
      </c>
      <c r="M660">
        <v>0</v>
      </c>
      <c r="N660">
        <v>28.8969034044</v>
      </c>
      <c r="O660">
        <v>28.8970147941228</v>
      </c>
      <c r="P660" t="s">
        <v>41</v>
      </c>
      <c r="Q660">
        <v>0</v>
      </c>
      <c r="R660" t="s">
        <v>50</v>
      </c>
      <c r="S660">
        <v>1962</v>
      </c>
      <c r="T660" t="s">
        <v>1181</v>
      </c>
      <c r="U660" t="s">
        <v>1181</v>
      </c>
      <c r="V660" t="s">
        <v>1197</v>
      </c>
      <c r="W660" t="s">
        <v>40</v>
      </c>
      <c r="X660" t="s">
        <v>41</v>
      </c>
      <c r="Y660" t="s">
        <v>41</v>
      </c>
      <c r="Z660" t="s">
        <v>43</v>
      </c>
      <c r="AA660">
        <v>1840</v>
      </c>
      <c r="AB660" t="s">
        <v>1204</v>
      </c>
      <c r="AC660" t="s">
        <v>1191</v>
      </c>
      <c r="AD660" t="s">
        <v>1191</v>
      </c>
    </row>
    <row r="661" spans="1:30" x14ac:dyDescent="0.3">
      <c r="A661">
        <v>555564009</v>
      </c>
      <c r="B661">
        <v>555564009</v>
      </c>
      <c r="C661">
        <v>1</v>
      </c>
      <c r="D661" t="s">
        <v>1248</v>
      </c>
      <c r="E661" t="s">
        <v>1248</v>
      </c>
      <c r="F661" t="s">
        <v>130</v>
      </c>
      <c r="G661" t="s">
        <v>130</v>
      </c>
      <c r="H661" t="s">
        <v>39</v>
      </c>
      <c r="I661" t="s">
        <v>40</v>
      </c>
      <c r="J661" t="s">
        <v>41</v>
      </c>
      <c r="K661">
        <v>0</v>
      </c>
      <c r="L661">
        <v>0</v>
      </c>
      <c r="M661">
        <v>0</v>
      </c>
      <c r="N661">
        <v>21.0263571194</v>
      </c>
      <c r="O661">
        <v>21.026163854707502</v>
      </c>
      <c r="P661" t="s">
        <v>41</v>
      </c>
      <c r="Q661">
        <v>0</v>
      </c>
      <c r="R661" t="s">
        <v>50</v>
      </c>
      <c r="S661">
        <v>1961</v>
      </c>
      <c r="T661" t="s">
        <v>1181</v>
      </c>
      <c r="U661" t="s">
        <v>1181</v>
      </c>
      <c r="V661" t="s">
        <v>1197</v>
      </c>
      <c r="W661" t="s">
        <v>40</v>
      </c>
      <c r="X661" t="s">
        <v>41</v>
      </c>
      <c r="Y661" t="s">
        <v>41</v>
      </c>
      <c r="Z661" t="s">
        <v>43</v>
      </c>
      <c r="AA661">
        <v>1840</v>
      </c>
      <c r="AB661" t="s">
        <v>1211</v>
      </c>
      <c r="AC661" t="s">
        <v>1191</v>
      </c>
      <c r="AD661" t="s">
        <v>1191</v>
      </c>
    </row>
    <row r="662" spans="1:30" x14ac:dyDescent="0.3">
      <c r="A662">
        <v>555564029</v>
      </c>
      <c r="B662">
        <v>555564029</v>
      </c>
      <c r="C662">
        <v>1</v>
      </c>
      <c r="D662" t="s">
        <v>1249</v>
      </c>
      <c r="E662" t="s">
        <v>1249</v>
      </c>
      <c r="F662" t="s">
        <v>130</v>
      </c>
      <c r="G662" t="s">
        <v>130</v>
      </c>
      <c r="H662" t="s">
        <v>39</v>
      </c>
      <c r="I662" t="s">
        <v>40</v>
      </c>
      <c r="J662" t="s">
        <v>41</v>
      </c>
      <c r="K662">
        <v>0</v>
      </c>
      <c r="L662">
        <v>0</v>
      </c>
      <c r="M662">
        <v>0</v>
      </c>
      <c r="N662">
        <v>14.1273563033999</v>
      </c>
      <c r="O662">
        <v>14.1274241026981</v>
      </c>
      <c r="P662" t="s">
        <v>41</v>
      </c>
      <c r="Q662">
        <v>0</v>
      </c>
      <c r="R662" t="s">
        <v>50</v>
      </c>
      <c r="S662">
        <v>1972</v>
      </c>
      <c r="T662" t="s">
        <v>1181</v>
      </c>
      <c r="U662" t="s">
        <v>1181</v>
      </c>
      <c r="V662" t="s">
        <v>1197</v>
      </c>
      <c r="W662" t="s">
        <v>40</v>
      </c>
      <c r="X662" t="s">
        <v>41</v>
      </c>
      <c r="Y662" t="s">
        <v>41</v>
      </c>
      <c r="Z662" t="s">
        <v>43</v>
      </c>
      <c r="AA662">
        <v>1840</v>
      </c>
      <c r="AB662" t="s">
        <v>1211</v>
      </c>
      <c r="AC662" t="s">
        <v>1191</v>
      </c>
      <c r="AD662" t="s">
        <v>1191</v>
      </c>
    </row>
    <row r="663" spans="1:30" x14ac:dyDescent="0.3">
      <c r="A663">
        <v>555564114</v>
      </c>
      <c r="B663">
        <v>555564114</v>
      </c>
      <c r="C663">
        <v>1</v>
      </c>
      <c r="D663" t="s">
        <v>1250</v>
      </c>
      <c r="E663" t="s">
        <v>1250</v>
      </c>
      <c r="F663" t="s">
        <v>130</v>
      </c>
      <c r="G663" t="s">
        <v>130</v>
      </c>
      <c r="H663" t="s">
        <v>39</v>
      </c>
      <c r="I663" t="s">
        <v>40</v>
      </c>
      <c r="J663" t="s">
        <v>41</v>
      </c>
      <c r="K663">
        <v>0</v>
      </c>
      <c r="L663">
        <v>0</v>
      </c>
      <c r="M663">
        <v>0</v>
      </c>
      <c r="N663">
        <v>15.8148039404999</v>
      </c>
      <c r="O663">
        <v>15.8148219858203</v>
      </c>
      <c r="P663" t="s">
        <v>41</v>
      </c>
      <c r="Q663">
        <v>0</v>
      </c>
      <c r="R663" t="s">
        <v>50</v>
      </c>
      <c r="S663">
        <v>1967</v>
      </c>
      <c r="T663" t="s">
        <v>1181</v>
      </c>
      <c r="U663" t="s">
        <v>1181</v>
      </c>
      <c r="V663" t="s">
        <v>1197</v>
      </c>
      <c r="W663" t="s">
        <v>40</v>
      </c>
      <c r="X663" t="s">
        <v>41</v>
      </c>
      <c r="Y663" t="s">
        <v>41</v>
      </c>
      <c r="Z663" t="s">
        <v>43</v>
      </c>
      <c r="AA663">
        <v>1840</v>
      </c>
      <c r="AB663" t="s">
        <v>1211</v>
      </c>
      <c r="AC663" t="s">
        <v>1191</v>
      </c>
      <c r="AD663" t="s">
        <v>1191</v>
      </c>
    </row>
    <row r="664" spans="1:30" x14ac:dyDescent="0.3">
      <c r="A664">
        <v>555564150</v>
      </c>
      <c r="B664">
        <v>555564150</v>
      </c>
      <c r="C664">
        <v>1</v>
      </c>
      <c r="D664" t="s">
        <v>1251</v>
      </c>
      <c r="E664" t="s">
        <v>1251</v>
      </c>
      <c r="F664" t="s">
        <v>130</v>
      </c>
      <c r="G664" t="s">
        <v>130</v>
      </c>
      <c r="H664" t="s">
        <v>39</v>
      </c>
      <c r="I664" t="s">
        <v>40</v>
      </c>
      <c r="J664" t="s">
        <v>41</v>
      </c>
      <c r="K664">
        <v>0</v>
      </c>
      <c r="L664">
        <v>0</v>
      </c>
      <c r="M664">
        <v>0</v>
      </c>
      <c r="N664">
        <v>1.41947732628</v>
      </c>
      <c r="O664">
        <v>1.4194654445517501</v>
      </c>
      <c r="P664" t="s">
        <v>41</v>
      </c>
      <c r="Q664">
        <v>0</v>
      </c>
      <c r="R664" t="s">
        <v>50</v>
      </c>
      <c r="S664">
        <v>1962</v>
      </c>
      <c r="T664" t="s">
        <v>66</v>
      </c>
      <c r="U664" t="s">
        <v>51</v>
      </c>
      <c r="V664" t="s">
        <v>1252</v>
      </c>
      <c r="W664" t="s">
        <v>40</v>
      </c>
      <c r="X664" t="s">
        <v>41</v>
      </c>
      <c r="Y664" t="s">
        <v>41</v>
      </c>
      <c r="Z664" t="s">
        <v>43</v>
      </c>
      <c r="AA664">
        <v>1840</v>
      </c>
      <c r="AB664" t="s">
        <v>1211</v>
      </c>
      <c r="AC664" t="s">
        <v>1191</v>
      </c>
      <c r="AD664" t="s">
        <v>1191</v>
      </c>
    </row>
    <row r="665" spans="1:30" x14ac:dyDescent="0.3">
      <c r="A665">
        <v>555570372</v>
      </c>
      <c r="B665">
        <v>555570372</v>
      </c>
      <c r="C665">
        <v>1</v>
      </c>
      <c r="D665" t="s">
        <v>1253</v>
      </c>
      <c r="E665" t="s">
        <v>1253</v>
      </c>
      <c r="F665" t="s">
        <v>130</v>
      </c>
      <c r="G665" t="s">
        <v>130</v>
      </c>
      <c r="H665" t="s">
        <v>39</v>
      </c>
      <c r="I665" t="s">
        <v>40</v>
      </c>
      <c r="J665" t="s">
        <v>41</v>
      </c>
      <c r="K665">
        <v>0</v>
      </c>
      <c r="L665">
        <v>0</v>
      </c>
      <c r="M665">
        <v>0</v>
      </c>
      <c r="N665">
        <v>2.0328185324499999</v>
      </c>
      <c r="O665">
        <v>2.0328181739868598</v>
      </c>
      <c r="P665" t="s">
        <v>41</v>
      </c>
      <c r="Q665">
        <v>0</v>
      </c>
      <c r="R665" t="s">
        <v>50</v>
      </c>
      <c r="S665">
        <v>1979</v>
      </c>
      <c r="T665" t="s">
        <v>66</v>
      </c>
      <c r="U665" t="s">
        <v>51</v>
      </c>
      <c r="V665" t="s">
        <v>40</v>
      </c>
      <c r="W665" t="s">
        <v>40</v>
      </c>
      <c r="X665" t="s">
        <v>41</v>
      </c>
      <c r="Y665" t="s">
        <v>41</v>
      </c>
      <c r="Z665" t="s">
        <v>43</v>
      </c>
      <c r="AA665">
        <v>1840</v>
      </c>
      <c r="AB665" t="s">
        <v>1211</v>
      </c>
      <c r="AC665" t="s">
        <v>1191</v>
      </c>
      <c r="AD665" t="s">
        <v>1191</v>
      </c>
    </row>
    <row r="666" spans="1:30" x14ac:dyDescent="0.3">
      <c r="A666">
        <v>555570385</v>
      </c>
      <c r="B666">
        <v>555570385</v>
      </c>
      <c r="C666">
        <v>1</v>
      </c>
      <c r="D666" t="s">
        <v>1254</v>
      </c>
      <c r="E666" t="s">
        <v>1254</v>
      </c>
      <c r="F666" t="s">
        <v>130</v>
      </c>
      <c r="G666" t="s">
        <v>130</v>
      </c>
      <c r="H666" t="s">
        <v>39</v>
      </c>
      <c r="I666" t="s">
        <v>40</v>
      </c>
      <c r="J666" t="s">
        <v>41</v>
      </c>
      <c r="K666">
        <v>0</v>
      </c>
      <c r="L666">
        <v>0</v>
      </c>
      <c r="M666">
        <v>0</v>
      </c>
      <c r="N666">
        <v>11.474446435300001</v>
      </c>
      <c r="O666">
        <v>11.474538031106301</v>
      </c>
      <c r="P666" t="s">
        <v>41</v>
      </c>
      <c r="Q666">
        <v>0</v>
      </c>
      <c r="R666" t="s">
        <v>50</v>
      </c>
      <c r="S666">
        <v>1955</v>
      </c>
      <c r="T666" t="s">
        <v>1181</v>
      </c>
      <c r="U666" t="s">
        <v>1181</v>
      </c>
      <c r="V666" t="s">
        <v>1197</v>
      </c>
      <c r="W666" t="s">
        <v>40</v>
      </c>
      <c r="X666" t="s">
        <v>41</v>
      </c>
      <c r="Y666" t="s">
        <v>41</v>
      </c>
      <c r="Z666" t="s">
        <v>43</v>
      </c>
      <c r="AA666">
        <v>1840</v>
      </c>
      <c r="AB666" t="s">
        <v>1211</v>
      </c>
      <c r="AC666" t="s">
        <v>1191</v>
      </c>
      <c r="AD666" t="s">
        <v>1191</v>
      </c>
    </row>
    <row r="667" spans="1:30" x14ac:dyDescent="0.3">
      <c r="A667">
        <v>555570539</v>
      </c>
      <c r="B667">
        <v>555570539</v>
      </c>
      <c r="C667">
        <v>1</v>
      </c>
      <c r="D667" t="s">
        <v>1255</v>
      </c>
      <c r="E667" t="s">
        <v>1255</v>
      </c>
      <c r="F667" t="s">
        <v>130</v>
      </c>
      <c r="G667" t="s">
        <v>130</v>
      </c>
      <c r="H667" t="s">
        <v>39</v>
      </c>
      <c r="I667" t="s">
        <v>40</v>
      </c>
      <c r="J667" t="s">
        <v>41</v>
      </c>
      <c r="K667">
        <v>0</v>
      </c>
      <c r="L667">
        <v>0</v>
      </c>
      <c r="M667">
        <v>0</v>
      </c>
      <c r="N667">
        <v>12.3545485146999</v>
      </c>
      <c r="O667">
        <v>12.3548088256372</v>
      </c>
      <c r="P667" t="s">
        <v>41</v>
      </c>
      <c r="Q667">
        <v>0</v>
      </c>
      <c r="R667" t="s">
        <v>50</v>
      </c>
      <c r="S667">
        <v>1997</v>
      </c>
      <c r="T667" t="s">
        <v>1181</v>
      </c>
      <c r="U667" t="s">
        <v>1181</v>
      </c>
      <c r="V667" t="s">
        <v>40</v>
      </c>
      <c r="W667" t="s">
        <v>40</v>
      </c>
      <c r="X667" t="s">
        <v>41</v>
      </c>
      <c r="Y667" t="s">
        <v>41</v>
      </c>
      <c r="Z667" t="s">
        <v>43</v>
      </c>
      <c r="AA667">
        <v>1840</v>
      </c>
      <c r="AB667" t="s">
        <v>1227</v>
      </c>
      <c r="AC667" t="s">
        <v>1191</v>
      </c>
      <c r="AD667" t="s">
        <v>1191</v>
      </c>
    </row>
    <row r="668" spans="1:30" x14ac:dyDescent="0.3">
      <c r="A668">
        <v>555570567</v>
      </c>
      <c r="B668">
        <v>555570567</v>
      </c>
      <c r="C668">
        <v>1</v>
      </c>
      <c r="D668" t="s">
        <v>1256</v>
      </c>
      <c r="E668" t="s">
        <v>1256</v>
      </c>
      <c r="F668" t="s">
        <v>130</v>
      </c>
      <c r="G668" t="s">
        <v>130</v>
      </c>
      <c r="H668" t="s">
        <v>39</v>
      </c>
      <c r="I668" t="s">
        <v>40</v>
      </c>
      <c r="J668" t="s">
        <v>41</v>
      </c>
      <c r="K668">
        <v>0</v>
      </c>
      <c r="L668">
        <v>0</v>
      </c>
      <c r="M668">
        <v>0</v>
      </c>
      <c r="N668">
        <v>8.9232177591300008</v>
      </c>
      <c r="O668">
        <v>8.9232699758074396</v>
      </c>
      <c r="P668" t="s">
        <v>41</v>
      </c>
      <c r="Q668">
        <v>0</v>
      </c>
      <c r="R668" t="s">
        <v>50</v>
      </c>
      <c r="S668">
        <v>2000</v>
      </c>
      <c r="T668" t="s">
        <v>1181</v>
      </c>
      <c r="U668" t="s">
        <v>1181</v>
      </c>
      <c r="V668" t="s">
        <v>40</v>
      </c>
      <c r="W668" t="s">
        <v>40</v>
      </c>
      <c r="X668" t="s">
        <v>41</v>
      </c>
      <c r="Y668" t="s">
        <v>41</v>
      </c>
      <c r="Z668" t="s">
        <v>43</v>
      </c>
      <c r="AA668">
        <v>1840</v>
      </c>
      <c r="AB668" t="s">
        <v>1227</v>
      </c>
      <c r="AC668" t="s">
        <v>1191</v>
      </c>
      <c r="AD668" t="s">
        <v>1191</v>
      </c>
    </row>
    <row r="669" spans="1:30" x14ac:dyDescent="0.3">
      <c r="A669">
        <v>555570570</v>
      </c>
      <c r="B669">
        <v>555570570</v>
      </c>
      <c r="C669">
        <v>1</v>
      </c>
      <c r="D669" t="s">
        <v>1257</v>
      </c>
      <c r="E669" t="s">
        <v>1257</v>
      </c>
      <c r="F669" t="s">
        <v>130</v>
      </c>
      <c r="G669" t="s">
        <v>130</v>
      </c>
      <c r="H669" t="s">
        <v>39</v>
      </c>
      <c r="I669" t="s">
        <v>40</v>
      </c>
      <c r="J669" t="s">
        <v>41</v>
      </c>
      <c r="K669">
        <v>0</v>
      </c>
      <c r="L669">
        <v>0</v>
      </c>
      <c r="M669">
        <v>0</v>
      </c>
      <c r="N669">
        <v>15.9068749750999</v>
      </c>
      <c r="O669">
        <v>15.9067985132865</v>
      </c>
      <c r="P669" t="s">
        <v>41</v>
      </c>
      <c r="Q669">
        <v>0</v>
      </c>
      <c r="R669" t="s">
        <v>50</v>
      </c>
      <c r="S669">
        <v>1985</v>
      </c>
      <c r="T669" t="s">
        <v>1181</v>
      </c>
      <c r="U669" t="s">
        <v>1181</v>
      </c>
      <c r="V669" t="s">
        <v>40</v>
      </c>
      <c r="W669" t="s">
        <v>40</v>
      </c>
      <c r="X669" t="s">
        <v>41</v>
      </c>
      <c r="Y669" t="s">
        <v>41</v>
      </c>
      <c r="Z669" t="s">
        <v>43</v>
      </c>
      <c r="AA669">
        <v>1840</v>
      </c>
      <c r="AB669" t="s">
        <v>1227</v>
      </c>
      <c r="AC669" t="s">
        <v>1191</v>
      </c>
      <c r="AD669" t="s">
        <v>1191</v>
      </c>
    </row>
    <row r="670" spans="1:30" x14ac:dyDescent="0.3">
      <c r="A670">
        <v>555570845</v>
      </c>
      <c r="B670">
        <v>555570845</v>
      </c>
      <c r="C670">
        <v>1</v>
      </c>
      <c r="D670" t="s">
        <v>1258</v>
      </c>
      <c r="E670" t="s">
        <v>1258</v>
      </c>
      <c r="F670" t="s">
        <v>130</v>
      </c>
      <c r="G670" t="s">
        <v>130</v>
      </c>
      <c r="H670" t="s">
        <v>39</v>
      </c>
      <c r="I670" t="s">
        <v>40</v>
      </c>
      <c r="J670" t="s">
        <v>41</v>
      </c>
      <c r="K670">
        <v>0</v>
      </c>
      <c r="L670">
        <v>0</v>
      </c>
      <c r="M670">
        <v>5.4766524637999999E-5</v>
      </c>
      <c r="N670">
        <v>0.77910156641399997</v>
      </c>
      <c r="O670">
        <v>0.77908980775967296</v>
      </c>
      <c r="P670" t="s">
        <v>41</v>
      </c>
      <c r="Q670">
        <v>0</v>
      </c>
      <c r="R670" t="s">
        <v>50</v>
      </c>
      <c r="S670">
        <v>1986</v>
      </c>
      <c r="T670" t="s">
        <v>1181</v>
      </c>
      <c r="U670" t="s">
        <v>1181</v>
      </c>
      <c r="V670" t="s">
        <v>40</v>
      </c>
      <c r="W670" t="s">
        <v>40</v>
      </c>
      <c r="X670" t="s">
        <v>41</v>
      </c>
      <c r="Y670" t="s">
        <v>41</v>
      </c>
      <c r="Z670" t="s">
        <v>43</v>
      </c>
      <c r="AA670">
        <v>1840</v>
      </c>
      <c r="AB670" t="s">
        <v>1190</v>
      </c>
      <c r="AC670" t="s">
        <v>1191</v>
      </c>
      <c r="AD670" t="s">
        <v>1191</v>
      </c>
    </row>
    <row r="671" spans="1:30" x14ac:dyDescent="0.3">
      <c r="A671">
        <v>555570849</v>
      </c>
      <c r="B671">
        <v>555570849</v>
      </c>
      <c r="C671">
        <v>1</v>
      </c>
      <c r="D671" t="s">
        <v>1259</v>
      </c>
      <c r="E671" t="s">
        <v>1259</v>
      </c>
      <c r="F671" t="s">
        <v>130</v>
      </c>
      <c r="G671" t="s">
        <v>130</v>
      </c>
      <c r="H671" t="s">
        <v>39</v>
      </c>
      <c r="I671" t="s">
        <v>40</v>
      </c>
      <c r="J671" t="s">
        <v>41</v>
      </c>
      <c r="K671">
        <v>0</v>
      </c>
      <c r="L671">
        <v>0</v>
      </c>
      <c r="M671">
        <v>0</v>
      </c>
      <c r="N671">
        <v>0.67281628215599998</v>
      </c>
      <c r="O671">
        <v>0.67281451640133505</v>
      </c>
      <c r="P671" t="s">
        <v>41</v>
      </c>
      <c r="Q671">
        <v>0</v>
      </c>
      <c r="R671" t="s">
        <v>50</v>
      </c>
      <c r="S671">
        <v>1973</v>
      </c>
      <c r="T671" t="s">
        <v>1181</v>
      </c>
      <c r="U671" t="s">
        <v>1181</v>
      </c>
      <c r="V671" t="s">
        <v>40</v>
      </c>
      <c r="W671" t="s">
        <v>40</v>
      </c>
      <c r="X671" t="s">
        <v>41</v>
      </c>
      <c r="Y671" t="s">
        <v>41</v>
      </c>
      <c r="Z671" t="s">
        <v>43</v>
      </c>
      <c r="AA671">
        <v>1840</v>
      </c>
      <c r="AB671" t="s">
        <v>1190</v>
      </c>
      <c r="AC671" t="s">
        <v>1191</v>
      </c>
      <c r="AD671" t="s">
        <v>1191</v>
      </c>
    </row>
    <row r="672" spans="1:30" x14ac:dyDescent="0.3">
      <c r="A672">
        <v>555570869</v>
      </c>
      <c r="B672">
        <v>555570869</v>
      </c>
      <c r="C672">
        <v>1</v>
      </c>
      <c r="D672" t="s">
        <v>1260</v>
      </c>
      <c r="E672" t="s">
        <v>1260</v>
      </c>
      <c r="F672" t="s">
        <v>130</v>
      </c>
      <c r="G672" t="s">
        <v>130</v>
      </c>
      <c r="H672" t="s">
        <v>39</v>
      </c>
      <c r="I672" t="s">
        <v>40</v>
      </c>
      <c r="J672" t="s">
        <v>41</v>
      </c>
      <c r="K672">
        <v>0</v>
      </c>
      <c r="L672">
        <v>0</v>
      </c>
      <c r="M672">
        <v>0</v>
      </c>
      <c r="N672">
        <v>900.82184629100004</v>
      </c>
      <c r="O672">
        <v>900.80176662688496</v>
      </c>
      <c r="P672" t="s">
        <v>41</v>
      </c>
      <c r="Q672">
        <v>0</v>
      </c>
      <c r="R672" t="s">
        <v>50</v>
      </c>
      <c r="S672">
        <v>2014</v>
      </c>
      <c r="T672" t="s">
        <v>66</v>
      </c>
      <c r="U672" t="s">
        <v>51</v>
      </c>
      <c r="V672" t="s">
        <v>1261</v>
      </c>
      <c r="W672" t="s">
        <v>40</v>
      </c>
      <c r="X672" t="s">
        <v>41</v>
      </c>
      <c r="Y672" t="s">
        <v>41</v>
      </c>
      <c r="Z672" t="s">
        <v>43</v>
      </c>
      <c r="AA672">
        <v>1840</v>
      </c>
      <c r="AB672" t="s">
        <v>1190</v>
      </c>
      <c r="AC672" t="s">
        <v>1191</v>
      </c>
      <c r="AD672" t="s">
        <v>1191</v>
      </c>
    </row>
    <row r="673" spans="1:30" x14ac:dyDescent="0.3">
      <c r="A673">
        <v>555570936</v>
      </c>
      <c r="B673">
        <v>555570936</v>
      </c>
      <c r="C673">
        <v>1</v>
      </c>
      <c r="D673" t="s">
        <v>1262</v>
      </c>
      <c r="E673" t="s">
        <v>1262</v>
      </c>
      <c r="F673" t="s">
        <v>130</v>
      </c>
      <c r="G673" t="s">
        <v>130</v>
      </c>
      <c r="H673" t="s">
        <v>39</v>
      </c>
      <c r="I673" t="s">
        <v>40</v>
      </c>
      <c r="J673" t="s">
        <v>41</v>
      </c>
      <c r="K673">
        <v>0</v>
      </c>
      <c r="L673">
        <v>0</v>
      </c>
      <c r="M673">
        <v>0</v>
      </c>
      <c r="N673">
        <v>17.5927455444</v>
      </c>
      <c r="O673">
        <v>17.592618964118</v>
      </c>
      <c r="P673" t="s">
        <v>41</v>
      </c>
      <c r="Q673">
        <v>0</v>
      </c>
      <c r="R673" t="s">
        <v>50</v>
      </c>
      <c r="S673">
        <v>2000</v>
      </c>
      <c r="T673" t="s">
        <v>1181</v>
      </c>
      <c r="U673" t="s">
        <v>1181</v>
      </c>
      <c r="V673" t="s">
        <v>40</v>
      </c>
      <c r="W673" t="s">
        <v>40</v>
      </c>
      <c r="X673" t="s">
        <v>41</v>
      </c>
      <c r="Y673" t="s">
        <v>41</v>
      </c>
      <c r="Z673" t="s">
        <v>43</v>
      </c>
      <c r="AA673">
        <v>1840</v>
      </c>
      <c r="AB673" t="s">
        <v>1227</v>
      </c>
      <c r="AC673" t="s">
        <v>1191</v>
      </c>
      <c r="AD673" t="s">
        <v>1191</v>
      </c>
    </row>
    <row r="674" spans="1:30" x14ac:dyDescent="0.3">
      <c r="A674">
        <v>555564121</v>
      </c>
      <c r="B674">
        <v>555564121</v>
      </c>
      <c r="C674">
        <v>1</v>
      </c>
      <c r="D674" t="s">
        <v>1263</v>
      </c>
      <c r="E674" t="s">
        <v>1263</v>
      </c>
      <c r="F674" t="s">
        <v>130</v>
      </c>
      <c r="G674" t="s">
        <v>130</v>
      </c>
      <c r="H674" t="s">
        <v>39</v>
      </c>
      <c r="I674" t="s">
        <v>40</v>
      </c>
      <c r="J674" t="s">
        <v>41</v>
      </c>
      <c r="K674">
        <v>0</v>
      </c>
      <c r="L674">
        <v>0</v>
      </c>
      <c r="M674">
        <v>0</v>
      </c>
      <c r="N674">
        <v>7.5307779628400002</v>
      </c>
      <c r="O674">
        <v>7.5307897113213098</v>
      </c>
      <c r="P674" t="s">
        <v>41</v>
      </c>
      <c r="Q674">
        <v>0</v>
      </c>
      <c r="R674" t="s">
        <v>50</v>
      </c>
      <c r="S674">
        <v>1967</v>
      </c>
      <c r="T674" t="s">
        <v>1181</v>
      </c>
      <c r="U674" t="s">
        <v>1181</v>
      </c>
      <c r="V674" t="s">
        <v>1197</v>
      </c>
      <c r="W674" t="s">
        <v>40</v>
      </c>
      <c r="X674" t="s">
        <v>41</v>
      </c>
      <c r="Y674" t="s">
        <v>41</v>
      </c>
      <c r="Z674" t="s">
        <v>43</v>
      </c>
      <c r="AA674">
        <v>1840</v>
      </c>
      <c r="AB674" t="s">
        <v>1204</v>
      </c>
      <c r="AC674" t="s">
        <v>1191</v>
      </c>
      <c r="AD674" t="s">
        <v>1191</v>
      </c>
    </row>
    <row r="675" spans="1:30" x14ac:dyDescent="0.3">
      <c r="A675">
        <v>4765</v>
      </c>
      <c r="B675">
        <v>4765</v>
      </c>
      <c r="C675">
        <v>1</v>
      </c>
      <c r="D675" t="s">
        <v>1264</v>
      </c>
      <c r="E675" t="s">
        <v>1264</v>
      </c>
      <c r="F675" t="s">
        <v>130</v>
      </c>
      <c r="G675" t="s">
        <v>130</v>
      </c>
      <c r="H675" t="s">
        <v>39</v>
      </c>
      <c r="I675" t="s">
        <v>40</v>
      </c>
      <c r="J675" t="s">
        <v>41</v>
      </c>
      <c r="K675">
        <v>0</v>
      </c>
      <c r="L675">
        <v>0</v>
      </c>
      <c r="M675">
        <v>0</v>
      </c>
      <c r="N675">
        <v>43.861888373900001</v>
      </c>
      <c r="O675">
        <v>43.8618174069425</v>
      </c>
      <c r="P675" t="s">
        <v>41</v>
      </c>
      <c r="Q675">
        <v>0</v>
      </c>
      <c r="R675" t="s">
        <v>50</v>
      </c>
      <c r="S675">
        <v>1967</v>
      </c>
      <c r="T675" t="s">
        <v>66</v>
      </c>
      <c r="U675" t="s">
        <v>51</v>
      </c>
      <c r="V675" t="s">
        <v>1265</v>
      </c>
      <c r="W675" t="s">
        <v>40</v>
      </c>
      <c r="X675" t="s">
        <v>41</v>
      </c>
      <c r="Y675" t="s">
        <v>41</v>
      </c>
      <c r="Z675" t="s">
        <v>43</v>
      </c>
      <c r="AA675">
        <v>1840</v>
      </c>
      <c r="AB675" t="s">
        <v>1266</v>
      </c>
      <c r="AC675" t="s">
        <v>1191</v>
      </c>
      <c r="AD675" t="s">
        <v>1191</v>
      </c>
    </row>
    <row r="676" spans="1:30" x14ac:dyDescent="0.3">
      <c r="A676">
        <v>555571031</v>
      </c>
      <c r="B676">
        <v>555571031</v>
      </c>
      <c r="C676">
        <v>1</v>
      </c>
      <c r="D676" t="s">
        <v>1267</v>
      </c>
      <c r="E676" t="s">
        <v>1267</v>
      </c>
      <c r="F676" t="s">
        <v>78</v>
      </c>
      <c r="G676" t="s">
        <v>78</v>
      </c>
      <c r="H676" t="s">
        <v>39</v>
      </c>
      <c r="I676" t="s">
        <v>40</v>
      </c>
      <c r="J676" t="s">
        <v>41</v>
      </c>
      <c r="K676">
        <v>2</v>
      </c>
      <c r="L676">
        <v>4099.4393595299898</v>
      </c>
      <c r="M676">
        <v>4092.6648977825298</v>
      </c>
      <c r="N676">
        <v>4099.4393595299898</v>
      </c>
      <c r="O676">
        <v>4099.3351010684801</v>
      </c>
      <c r="P676" t="s">
        <v>40</v>
      </c>
      <c r="Q676">
        <v>0</v>
      </c>
      <c r="R676" t="s">
        <v>50</v>
      </c>
      <c r="S676">
        <v>2019</v>
      </c>
      <c r="T676" t="s">
        <v>66</v>
      </c>
      <c r="U676" t="s">
        <v>51</v>
      </c>
      <c r="V676" t="s">
        <v>1236</v>
      </c>
      <c r="W676" t="s">
        <v>40</v>
      </c>
      <c r="X676" t="s">
        <v>41</v>
      </c>
      <c r="Y676" t="s">
        <v>41</v>
      </c>
      <c r="Z676" t="s">
        <v>43</v>
      </c>
      <c r="AA676">
        <v>1840</v>
      </c>
      <c r="AB676" t="s">
        <v>1194</v>
      </c>
      <c r="AC676" t="s">
        <v>1191</v>
      </c>
      <c r="AD676" t="s">
        <v>1191</v>
      </c>
    </row>
    <row r="677" spans="1:30" x14ac:dyDescent="0.3">
      <c r="A677">
        <v>555571133</v>
      </c>
      <c r="B677">
        <v>555571133</v>
      </c>
      <c r="C677">
        <v>1</v>
      </c>
      <c r="D677" t="s">
        <v>1268</v>
      </c>
      <c r="E677" t="s">
        <v>1268</v>
      </c>
      <c r="F677" t="s">
        <v>130</v>
      </c>
      <c r="G677" t="s">
        <v>130</v>
      </c>
      <c r="H677" t="s">
        <v>39</v>
      </c>
      <c r="I677" t="s">
        <v>40</v>
      </c>
      <c r="J677" t="s">
        <v>41</v>
      </c>
      <c r="K677">
        <v>0</v>
      </c>
      <c r="L677">
        <v>0</v>
      </c>
      <c r="M677">
        <v>0</v>
      </c>
      <c r="N677">
        <v>116.999038073999</v>
      </c>
      <c r="O677">
        <v>116.996524994645</v>
      </c>
      <c r="P677" t="s">
        <v>41</v>
      </c>
      <c r="Q677">
        <v>0</v>
      </c>
      <c r="R677" t="s">
        <v>50</v>
      </c>
      <c r="S677">
        <v>2018</v>
      </c>
      <c r="T677" t="s">
        <v>1181</v>
      </c>
      <c r="U677" t="s">
        <v>1181</v>
      </c>
      <c r="V677" t="s">
        <v>40</v>
      </c>
      <c r="W677" t="s">
        <v>40</v>
      </c>
      <c r="X677" t="s">
        <v>41</v>
      </c>
      <c r="Y677" t="s">
        <v>41</v>
      </c>
      <c r="Z677" t="s">
        <v>43</v>
      </c>
      <c r="AA677">
        <v>1840</v>
      </c>
      <c r="AB677" t="s">
        <v>1204</v>
      </c>
      <c r="AC677" t="s">
        <v>1191</v>
      </c>
      <c r="AD677" t="s">
        <v>1191</v>
      </c>
    </row>
    <row r="678" spans="1:30" x14ac:dyDescent="0.3">
      <c r="A678">
        <v>555571119</v>
      </c>
      <c r="B678">
        <v>555571119</v>
      </c>
      <c r="C678">
        <v>1</v>
      </c>
      <c r="D678" t="s">
        <v>1269</v>
      </c>
      <c r="E678" t="s">
        <v>1269</v>
      </c>
      <c r="F678" t="s">
        <v>130</v>
      </c>
      <c r="G678" t="s">
        <v>130</v>
      </c>
      <c r="H678" t="s">
        <v>39</v>
      </c>
      <c r="I678" t="s">
        <v>40</v>
      </c>
      <c r="J678" t="s">
        <v>41</v>
      </c>
      <c r="K678">
        <v>0</v>
      </c>
      <c r="L678">
        <v>0</v>
      </c>
      <c r="M678">
        <v>0</v>
      </c>
      <c r="N678">
        <v>552.23272426899905</v>
      </c>
      <c r="O678">
        <v>552.23405740240901</v>
      </c>
      <c r="P678" t="s">
        <v>41</v>
      </c>
      <c r="Q678">
        <v>0</v>
      </c>
      <c r="R678" t="s">
        <v>50</v>
      </c>
      <c r="S678">
        <v>2018</v>
      </c>
      <c r="T678" t="s">
        <v>66</v>
      </c>
      <c r="U678" t="s">
        <v>51</v>
      </c>
      <c r="V678" t="s">
        <v>1270</v>
      </c>
      <c r="W678" t="s">
        <v>40</v>
      </c>
      <c r="X678" t="s">
        <v>41</v>
      </c>
      <c r="Y678" t="s">
        <v>41</v>
      </c>
      <c r="Z678" t="s">
        <v>43</v>
      </c>
      <c r="AA678">
        <v>1840</v>
      </c>
      <c r="AB678" t="s">
        <v>1271</v>
      </c>
      <c r="AC678" t="s">
        <v>1191</v>
      </c>
      <c r="AD678" t="s">
        <v>1191</v>
      </c>
    </row>
    <row r="679" spans="1:30" x14ac:dyDescent="0.3">
      <c r="A679">
        <v>555571093</v>
      </c>
      <c r="B679">
        <v>555571093</v>
      </c>
      <c r="C679">
        <v>1</v>
      </c>
      <c r="D679" t="s">
        <v>1272</v>
      </c>
      <c r="E679" t="s">
        <v>1272</v>
      </c>
      <c r="F679" t="s">
        <v>130</v>
      </c>
      <c r="G679" t="s">
        <v>130</v>
      </c>
      <c r="H679" t="s">
        <v>39</v>
      </c>
      <c r="I679" t="s">
        <v>40</v>
      </c>
      <c r="J679" t="s">
        <v>41</v>
      </c>
      <c r="K679">
        <v>0</v>
      </c>
      <c r="L679">
        <v>0</v>
      </c>
      <c r="M679">
        <v>0</v>
      </c>
      <c r="N679">
        <v>126.202590103999</v>
      </c>
      <c r="O679">
        <v>126.202819459105</v>
      </c>
      <c r="P679" t="s">
        <v>41</v>
      </c>
      <c r="Q679">
        <v>0</v>
      </c>
      <c r="R679" t="s">
        <v>50</v>
      </c>
      <c r="S679">
        <v>1988</v>
      </c>
      <c r="T679" t="s">
        <v>66</v>
      </c>
      <c r="U679" t="s">
        <v>51</v>
      </c>
      <c r="V679" t="s">
        <v>40</v>
      </c>
      <c r="W679" t="s">
        <v>40</v>
      </c>
      <c r="X679" t="s">
        <v>41</v>
      </c>
      <c r="Y679" t="s">
        <v>41</v>
      </c>
      <c r="Z679" t="s">
        <v>43</v>
      </c>
      <c r="AA679">
        <v>1840</v>
      </c>
      <c r="AB679" t="s">
        <v>1227</v>
      </c>
      <c r="AC679" t="s">
        <v>1191</v>
      </c>
      <c r="AD679" t="s">
        <v>1191</v>
      </c>
    </row>
    <row r="680" spans="1:30" x14ac:dyDescent="0.3">
      <c r="A680">
        <v>555570393</v>
      </c>
      <c r="B680">
        <v>555570393</v>
      </c>
      <c r="C680">
        <v>1</v>
      </c>
      <c r="D680" t="s">
        <v>1273</v>
      </c>
      <c r="E680" t="s">
        <v>1273</v>
      </c>
      <c r="F680" t="s">
        <v>130</v>
      </c>
      <c r="G680" t="s">
        <v>130</v>
      </c>
      <c r="H680" t="s">
        <v>39</v>
      </c>
      <c r="I680" t="s">
        <v>40</v>
      </c>
      <c r="J680" t="s">
        <v>41</v>
      </c>
      <c r="K680">
        <v>0</v>
      </c>
      <c r="L680">
        <v>0</v>
      </c>
      <c r="M680">
        <v>0</v>
      </c>
      <c r="N680">
        <v>29.7067321566999</v>
      </c>
      <c r="O680">
        <v>29.706737047014499</v>
      </c>
      <c r="P680" t="s">
        <v>41</v>
      </c>
      <c r="Q680">
        <v>0</v>
      </c>
      <c r="R680" t="s">
        <v>50</v>
      </c>
      <c r="S680">
        <v>1955</v>
      </c>
      <c r="T680" t="s">
        <v>66</v>
      </c>
      <c r="U680" t="s">
        <v>51</v>
      </c>
      <c r="V680" t="s">
        <v>40</v>
      </c>
      <c r="W680" t="s">
        <v>40</v>
      </c>
      <c r="X680" t="s">
        <v>41</v>
      </c>
      <c r="Y680" t="s">
        <v>41</v>
      </c>
      <c r="Z680" t="s">
        <v>43</v>
      </c>
      <c r="AA680">
        <v>1840</v>
      </c>
      <c r="AB680" t="s">
        <v>1200</v>
      </c>
      <c r="AC680" t="s">
        <v>1191</v>
      </c>
      <c r="AD680" t="s">
        <v>1191</v>
      </c>
    </row>
    <row r="681" spans="1:30" x14ac:dyDescent="0.3">
      <c r="A681">
        <v>555571029</v>
      </c>
      <c r="B681">
        <v>555571029</v>
      </c>
      <c r="C681">
        <v>1</v>
      </c>
      <c r="D681" t="s">
        <v>1274</v>
      </c>
      <c r="E681" t="s">
        <v>1274</v>
      </c>
      <c r="F681" t="s">
        <v>78</v>
      </c>
      <c r="G681" t="s">
        <v>78</v>
      </c>
      <c r="H681" t="s">
        <v>39</v>
      </c>
      <c r="I681" t="s">
        <v>40</v>
      </c>
      <c r="J681" t="s">
        <v>41</v>
      </c>
      <c r="K681">
        <v>2</v>
      </c>
      <c r="L681">
        <v>1127.08916763</v>
      </c>
      <c r="M681">
        <v>1112.3776835527799</v>
      </c>
      <c r="N681">
        <v>1127.08916763</v>
      </c>
      <c r="O681">
        <v>1126.7501554917501</v>
      </c>
      <c r="P681" t="s">
        <v>40</v>
      </c>
      <c r="Q681">
        <v>0</v>
      </c>
      <c r="R681" t="s">
        <v>50</v>
      </c>
      <c r="S681">
        <v>2019</v>
      </c>
      <c r="T681" t="s">
        <v>66</v>
      </c>
      <c r="U681" t="s">
        <v>51</v>
      </c>
      <c r="V681" t="s">
        <v>1236</v>
      </c>
      <c r="W681" t="s">
        <v>40</v>
      </c>
      <c r="X681" t="s">
        <v>41</v>
      </c>
      <c r="Y681" t="s">
        <v>41</v>
      </c>
      <c r="Z681" t="s">
        <v>43</v>
      </c>
      <c r="AA681">
        <v>1840</v>
      </c>
      <c r="AB681" t="s">
        <v>1220</v>
      </c>
      <c r="AC681" t="s">
        <v>1191</v>
      </c>
      <c r="AD681" t="s">
        <v>1191</v>
      </c>
    </row>
    <row r="682" spans="1:30" x14ac:dyDescent="0.3">
      <c r="A682">
        <v>555570973</v>
      </c>
      <c r="B682">
        <v>555570973</v>
      </c>
      <c r="C682">
        <v>1</v>
      </c>
      <c r="D682" t="s">
        <v>1275</v>
      </c>
      <c r="E682" t="s">
        <v>1275</v>
      </c>
      <c r="F682" t="s">
        <v>130</v>
      </c>
      <c r="G682" t="s">
        <v>130</v>
      </c>
      <c r="H682" t="s">
        <v>39</v>
      </c>
      <c r="I682" t="s">
        <v>40</v>
      </c>
      <c r="J682" t="s">
        <v>41</v>
      </c>
      <c r="K682">
        <v>0</v>
      </c>
      <c r="L682">
        <v>0</v>
      </c>
      <c r="M682">
        <v>0</v>
      </c>
      <c r="N682">
        <v>82.697524000000001</v>
      </c>
      <c r="O682">
        <v>82.697500440105898</v>
      </c>
      <c r="P682" t="s">
        <v>41</v>
      </c>
      <c r="Q682">
        <v>0</v>
      </c>
      <c r="R682" t="s">
        <v>50</v>
      </c>
      <c r="S682">
        <v>2015</v>
      </c>
      <c r="T682" t="s">
        <v>1181</v>
      </c>
      <c r="U682" t="s">
        <v>1181</v>
      </c>
      <c r="V682" t="s">
        <v>1276</v>
      </c>
      <c r="W682" t="s">
        <v>40</v>
      </c>
      <c r="X682" t="s">
        <v>41</v>
      </c>
      <c r="Y682" t="s">
        <v>41</v>
      </c>
      <c r="Z682" t="s">
        <v>43</v>
      </c>
      <c r="AA682">
        <v>1840</v>
      </c>
      <c r="AB682" t="s">
        <v>1194</v>
      </c>
      <c r="AC682" t="s">
        <v>1191</v>
      </c>
      <c r="AD682" t="s">
        <v>1191</v>
      </c>
    </row>
    <row r="683" spans="1:30" x14ac:dyDescent="0.3">
      <c r="A683">
        <v>351317</v>
      </c>
      <c r="B683">
        <v>351317</v>
      </c>
      <c r="C683">
        <v>1</v>
      </c>
      <c r="D683" t="s">
        <v>1277</v>
      </c>
      <c r="E683" t="s">
        <v>1277</v>
      </c>
      <c r="F683" t="s">
        <v>1196</v>
      </c>
      <c r="G683" t="s">
        <v>1196</v>
      </c>
      <c r="H683" t="s">
        <v>39</v>
      </c>
      <c r="I683" t="s">
        <v>40</v>
      </c>
      <c r="J683" t="s">
        <v>41</v>
      </c>
      <c r="K683">
        <v>0</v>
      </c>
      <c r="L683">
        <v>0</v>
      </c>
      <c r="M683">
        <v>1.0378536718179E-2</v>
      </c>
      <c r="N683">
        <v>240.28217570499899</v>
      </c>
      <c r="O683">
        <v>240.281714172047</v>
      </c>
      <c r="P683" t="s">
        <v>41</v>
      </c>
      <c r="Q683">
        <v>0</v>
      </c>
      <c r="R683" t="s">
        <v>50</v>
      </c>
      <c r="S683">
        <v>1985</v>
      </c>
      <c r="T683" t="s">
        <v>1181</v>
      </c>
      <c r="U683" t="s">
        <v>1181</v>
      </c>
      <c r="V683" t="s">
        <v>1197</v>
      </c>
      <c r="W683" t="s">
        <v>40</v>
      </c>
      <c r="X683" t="s">
        <v>41</v>
      </c>
      <c r="Y683" t="s">
        <v>41</v>
      </c>
      <c r="Z683" t="s">
        <v>43</v>
      </c>
      <c r="AA683">
        <v>1840</v>
      </c>
      <c r="AB683" t="s">
        <v>1190</v>
      </c>
      <c r="AC683" t="s">
        <v>1191</v>
      </c>
      <c r="AD683" t="s">
        <v>1191</v>
      </c>
    </row>
    <row r="684" spans="1:30" x14ac:dyDescent="0.3">
      <c r="A684">
        <v>555563602</v>
      </c>
      <c r="B684">
        <v>555563602</v>
      </c>
      <c r="C684">
        <v>1</v>
      </c>
      <c r="D684" t="s">
        <v>1278</v>
      </c>
      <c r="E684" t="s">
        <v>1278</v>
      </c>
      <c r="F684" t="s">
        <v>130</v>
      </c>
      <c r="G684" t="s">
        <v>130</v>
      </c>
      <c r="H684" t="s">
        <v>39</v>
      </c>
      <c r="I684" t="s">
        <v>40</v>
      </c>
      <c r="J684" t="s">
        <v>41</v>
      </c>
      <c r="K684">
        <v>0</v>
      </c>
      <c r="L684">
        <v>0</v>
      </c>
      <c r="M684">
        <v>0</v>
      </c>
      <c r="N684">
        <v>7.1665133802899996</v>
      </c>
      <c r="O684">
        <v>7.1665085768071402</v>
      </c>
      <c r="P684" t="s">
        <v>41</v>
      </c>
      <c r="Q684">
        <v>0</v>
      </c>
      <c r="R684" t="s">
        <v>50</v>
      </c>
      <c r="S684">
        <v>2013</v>
      </c>
      <c r="T684" t="s">
        <v>66</v>
      </c>
      <c r="U684" t="s">
        <v>51</v>
      </c>
      <c r="V684" t="s">
        <v>1279</v>
      </c>
      <c r="W684" t="s">
        <v>40</v>
      </c>
      <c r="X684" t="s">
        <v>41</v>
      </c>
      <c r="Y684" t="s">
        <v>41</v>
      </c>
      <c r="Z684" t="s">
        <v>43</v>
      </c>
      <c r="AA684">
        <v>1840</v>
      </c>
      <c r="AB684" t="s">
        <v>1194</v>
      </c>
      <c r="AC684" t="s">
        <v>1191</v>
      </c>
      <c r="AD684" t="s">
        <v>1191</v>
      </c>
    </row>
    <row r="685" spans="1:30" x14ac:dyDescent="0.3">
      <c r="A685">
        <v>555570445</v>
      </c>
      <c r="B685">
        <v>555570445</v>
      </c>
      <c r="C685">
        <v>1</v>
      </c>
      <c r="D685" t="s">
        <v>1280</v>
      </c>
      <c r="E685" t="s">
        <v>1280</v>
      </c>
      <c r="F685" t="s">
        <v>116</v>
      </c>
      <c r="G685" t="s">
        <v>116</v>
      </c>
      <c r="H685" t="s">
        <v>82</v>
      </c>
      <c r="I685" t="s">
        <v>40</v>
      </c>
      <c r="J685" t="s">
        <v>40</v>
      </c>
      <c r="K685">
        <v>0</v>
      </c>
      <c r="L685">
        <v>0</v>
      </c>
      <c r="M685">
        <v>0</v>
      </c>
      <c r="N685">
        <v>49.5631188419</v>
      </c>
      <c r="O685">
        <v>49.563239632387898</v>
      </c>
      <c r="P685" t="s">
        <v>41</v>
      </c>
      <c r="Q685">
        <v>0</v>
      </c>
      <c r="R685" t="s">
        <v>50</v>
      </c>
      <c r="S685">
        <v>2019</v>
      </c>
      <c r="T685" t="s">
        <v>66</v>
      </c>
      <c r="U685" t="s">
        <v>51</v>
      </c>
      <c r="V685" t="s">
        <v>40</v>
      </c>
      <c r="W685" t="s">
        <v>40</v>
      </c>
      <c r="X685" t="s">
        <v>41</v>
      </c>
      <c r="Y685" t="s">
        <v>41</v>
      </c>
      <c r="Z685" t="s">
        <v>43</v>
      </c>
      <c r="AA685">
        <v>1856</v>
      </c>
      <c r="AB685" t="s">
        <v>1266</v>
      </c>
      <c r="AC685" t="s">
        <v>1191</v>
      </c>
      <c r="AD685" t="s">
        <v>1191</v>
      </c>
    </row>
    <row r="686" spans="1:30" x14ac:dyDescent="0.3">
      <c r="A686">
        <v>555571043</v>
      </c>
      <c r="B686">
        <v>555571043</v>
      </c>
      <c r="C686">
        <v>1</v>
      </c>
      <c r="D686" t="s">
        <v>1281</v>
      </c>
      <c r="E686" t="s">
        <v>1281</v>
      </c>
      <c r="F686" t="s">
        <v>130</v>
      </c>
      <c r="G686" t="s">
        <v>130</v>
      </c>
      <c r="H686" t="s">
        <v>39</v>
      </c>
      <c r="I686" t="s">
        <v>40</v>
      </c>
      <c r="J686" t="s">
        <v>41</v>
      </c>
      <c r="K686">
        <v>0</v>
      </c>
      <c r="L686">
        <v>0</v>
      </c>
      <c r="M686">
        <v>0</v>
      </c>
      <c r="N686">
        <v>1.53520873641</v>
      </c>
      <c r="O686">
        <v>1.53520811667171</v>
      </c>
      <c r="P686" t="s">
        <v>41</v>
      </c>
      <c r="Q686">
        <v>0</v>
      </c>
      <c r="R686" t="s">
        <v>50</v>
      </c>
      <c r="S686">
        <v>2018</v>
      </c>
      <c r="T686" t="s">
        <v>66</v>
      </c>
      <c r="U686" t="s">
        <v>51</v>
      </c>
      <c r="V686" t="s">
        <v>1282</v>
      </c>
      <c r="W686" t="s">
        <v>40</v>
      </c>
      <c r="X686" t="s">
        <v>41</v>
      </c>
      <c r="Y686" t="s">
        <v>41</v>
      </c>
      <c r="Z686" t="s">
        <v>43</v>
      </c>
      <c r="AA686">
        <v>1840</v>
      </c>
      <c r="AB686" t="s">
        <v>1194</v>
      </c>
      <c r="AC686" t="s">
        <v>1191</v>
      </c>
      <c r="AD686" t="s">
        <v>1191</v>
      </c>
    </row>
    <row r="687" spans="1:30" x14ac:dyDescent="0.3">
      <c r="A687">
        <v>555570951</v>
      </c>
      <c r="B687">
        <v>555570951</v>
      </c>
      <c r="C687">
        <v>1</v>
      </c>
      <c r="D687" t="s">
        <v>1283</v>
      </c>
      <c r="E687" t="s">
        <v>1283</v>
      </c>
      <c r="F687" t="s">
        <v>1188</v>
      </c>
      <c r="G687" t="s">
        <v>1188</v>
      </c>
      <c r="H687" t="s">
        <v>39</v>
      </c>
      <c r="I687" t="s">
        <v>40</v>
      </c>
      <c r="J687" t="s">
        <v>41</v>
      </c>
      <c r="K687">
        <v>0</v>
      </c>
      <c r="L687">
        <v>0</v>
      </c>
      <c r="M687">
        <v>0</v>
      </c>
      <c r="N687">
        <v>30.6949056785</v>
      </c>
      <c r="O687">
        <v>30.694759232485101</v>
      </c>
      <c r="P687" t="s">
        <v>41</v>
      </c>
      <c r="Q687">
        <v>0</v>
      </c>
      <c r="R687" t="s">
        <v>50</v>
      </c>
      <c r="S687">
        <v>2021</v>
      </c>
      <c r="T687" t="s">
        <v>66</v>
      </c>
      <c r="U687" t="s">
        <v>51</v>
      </c>
      <c r="V687" t="s">
        <v>1193</v>
      </c>
      <c r="W687" t="s">
        <v>40</v>
      </c>
      <c r="X687" t="s">
        <v>41</v>
      </c>
      <c r="Y687" t="s">
        <v>41</v>
      </c>
      <c r="Z687" t="s">
        <v>43</v>
      </c>
      <c r="AA687">
        <v>1840</v>
      </c>
      <c r="AB687" t="s">
        <v>1194</v>
      </c>
      <c r="AC687" t="s">
        <v>1191</v>
      </c>
      <c r="AD687" t="s">
        <v>1191</v>
      </c>
    </row>
    <row r="688" spans="1:30" x14ac:dyDescent="0.3">
      <c r="A688">
        <v>555579264</v>
      </c>
      <c r="B688">
        <v>555579264</v>
      </c>
      <c r="C688">
        <v>1</v>
      </c>
      <c r="D688" t="s">
        <v>1284</v>
      </c>
      <c r="E688" t="s">
        <v>1284</v>
      </c>
      <c r="F688" t="s">
        <v>1188</v>
      </c>
      <c r="G688" t="s">
        <v>1188</v>
      </c>
      <c r="H688" t="s">
        <v>39</v>
      </c>
      <c r="I688" t="s">
        <v>40</v>
      </c>
      <c r="J688" t="s">
        <v>41</v>
      </c>
      <c r="K688">
        <v>0</v>
      </c>
      <c r="L688">
        <v>0</v>
      </c>
      <c r="M688">
        <v>11.3689876483057</v>
      </c>
      <c r="N688">
        <v>142.84626415100001</v>
      </c>
      <c r="O688">
        <v>142.84648726575099</v>
      </c>
      <c r="P688" t="s">
        <v>41</v>
      </c>
      <c r="Q688">
        <v>0</v>
      </c>
      <c r="R688" t="s">
        <v>50</v>
      </c>
      <c r="S688">
        <v>1964</v>
      </c>
      <c r="T688" t="s">
        <v>66</v>
      </c>
      <c r="U688" t="s">
        <v>51</v>
      </c>
      <c r="V688" t="s">
        <v>1236</v>
      </c>
      <c r="W688" t="s">
        <v>40</v>
      </c>
      <c r="X688" t="s">
        <v>41</v>
      </c>
      <c r="Y688" t="s">
        <v>41</v>
      </c>
      <c r="Z688" t="s">
        <v>43</v>
      </c>
      <c r="AA688">
        <v>1840</v>
      </c>
      <c r="AB688" t="s">
        <v>1190</v>
      </c>
      <c r="AC688" t="s">
        <v>1191</v>
      </c>
      <c r="AD688" t="s">
        <v>1191</v>
      </c>
    </row>
    <row r="689" spans="1:30" x14ac:dyDescent="0.3">
      <c r="A689">
        <v>555570889</v>
      </c>
      <c r="B689">
        <v>555570889</v>
      </c>
      <c r="C689">
        <v>1</v>
      </c>
      <c r="D689" t="s">
        <v>1285</v>
      </c>
      <c r="E689" t="s">
        <v>1285</v>
      </c>
      <c r="F689" t="s">
        <v>130</v>
      </c>
      <c r="G689" t="s">
        <v>130</v>
      </c>
      <c r="H689" t="s">
        <v>39</v>
      </c>
      <c r="I689" t="s">
        <v>40</v>
      </c>
      <c r="J689" t="s">
        <v>41</v>
      </c>
      <c r="K689">
        <v>0</v>
      </c>
      <c r="L689">
        <v>0</v>
      </c>
      <c r="M689">
        <v>0</v>
      </c>
      <c r="N689">
        <v>2.3725965209800002</v>
      </c>
      <c r="O689">
        <v>2.3725965209803999</v>
      </c>
      <c r="P689" t="s">
        <v>41</v>
      </c>
      <c r="Q689">
        <v>0</v>
      </c>
      <c r="R689" t="s">
        <v>50</v>
      </c>
      <c r="S689">
        <v>2014</v>
      </c>
      <c r="T689" t="s">
        <v>66</v>
      </c>
      <c r="U689" t="s">
        <v>51</v>
      </c>
      <c r="V689" t="s">
        <v>1213</v>
      </c>
      <c r="W689" t="s">
        <v>40</v>
      </c>
      <c r="X689" t="s">
        <v>41</v>
      </c>
      <c r="Y689" t="s">
        <v>41</v>
      </c>
      <c r="Z689" t="s">
        <v>43</v>
      </c>
      <c r="AA689">
        <v>1840</v>
      </c>
      <c r="AB689" t="s">
        <v>1200</v>
      </c>
      <c r="AC689" t="s">
        <v>1191</v>
      </c>
      <c r="AD689" t="s">
        <v>1191</v>
      </c>
    </row>
    <row r="690" spans="1:30" x14ac:dyDescent="0.3">
      <c r="A690">
        <v>881</v>
      </c>
      <c r="B690">
        <v>881</v>
      </c>
      <c r="C690">
        <v>1</v>
      </c>
      <c r="D690" t="s">
        <v>1286</v>
      </c>
      <c r="E690" t="s">
        <v>1286</v>
      </c>
      <c r="F690" t="s">
        <v>123</v>
      </c>
      <c r="G690" t="s">
        <v>123</v>
      </c>
      <c r="H690" t="s">
        <v>39</v>
      </c>
      <c r="I690" t="s">
        <v>40</v>
      </c>
      <c r="J690" t="s">
        <v>41</v>
      </c>
      <c r="K690">
        <v>1</v>
      </c>
      <c r="L690">
        <v>0</v>
      </c>
      <c r="M690">
        <v>309.02436035692301</v>
      </c>
      <c r="N690">
        <v>1257.8848107700001</v>
      </c>
      <c r="O690">
        <v>1257.88700275053</v>
      </c>
      <c r="P690" t="s">
        <v>40</v>
      </c>
      <c r="Q690">
        <v>0</v>
      </c>
      <c r="R690" t="s">
        <v>50</v>
      </c>
      <c r="S690">
        <v>1964</v>
      </c>
      <c r="T690" t="s">
        <v>66</v>
      </c>
      <c r="U690" t="s">
        <v>51</v>
      </c>
      <c r="V690" t="s">
        <v>1236</v>
      </c>
      <c r="W690" t="s">
        <v>40</v>
      </c>
      <c r="X690" t="s">
        <v>41</v>
      </c>
      <c r="Y690" t="s">
        <v>41</v>
      </c>
      <c r="Z690" t="s">
        <v>43</v>
      </c>
      <c r="AA690">
        <v>1840</v>
      </c>
      <c r="AB690" t="s">
        <v>1220</v>
      </c>
      <c r="AC690" t="s">
        <v>1191</v>
      </c>
      <c r="AD690" t="s">
        <v>1191</v>
      </c>
    </row>
    <row r="691" spans="1:30" x14ac:dyDescent="0.3">
      <c r="A691">
        <v>882</v>
      </c>
      <c r="B691">
        <v>882</v>
      </c>
      <c r="C691">
        <v>1</v>
      </c>
      <c r="D691" t="s">
        <v>1287</v>
      </c>
      <c r="E691" t="s">
        <v>1287</v>
      </c>
      <c r="F691" t="s">
        <v>123</v>
      </c>
      <c r="G691" t="s">
        <v>123</v>
      </c>
      <c r="H691" t="s">
        <v>39</v>
      </c>
      <c r="I691" t="s">
        <v>40</v>
      </c>
      <c r="J691" t="s">
        <v>41</v>
      </c>
      <c r="K691">
        <v>0</v>
      </c>
      <c r="L691">
        <v>0</v>
      </c>
      <c r="M691">
        <v>0</v>
      </c>
      <c r="N691">
        <v>34.137334418499897</v>
      </c>
      <c r="O691">
        <v>34.137359226043699</v>
      </c>
      <c r="P691" t="s">
        <v>41</v>
      </c>
      <c r="Q691">
        <v>0</v>
      </c>
      <c r="R691" t="s">
        <v>50</v>
      </c>
      <c r="S691">
        <v>1961</v>
      </c>
      <c r="T691" t="s">
        <v>66</v>
      </c>
      <c r="U691" t="s">
        <v>51</v>
      </c>
      <c r="V691" t="s">
        <v>1236</v>
      </c>
      <c r="W691" t="s">
        <v>40</v>
      </c>
      <c r="X691" t="s">
        <v>41</v>
      </c>
      <c r="Y691" t="s">
        <v>41</v>
      </c>
      <c r="Z691" t="s">
        <v>43</v>
      </c>
      <c r="AA691">
        <v>1840</v>
      </c>
      <c r="AB691" t="s">
        <v>1190</v>
      </c>
      <c r="AC691" t="s">
        <v>1191</v>
      </c>
      <c r="AD691" t="s">
        <v>1191</v>
      </c>
    </row>
    <row r="692" spans="1:30" x14ac:dyDescent="0.3">
      <c r="A692">
        <v>32455</v>
      </c>
      <c r="B692">
        <v>32455</v>
      </c>
      <c r="C692">
        <v>1</v>
      </c>
      <c r="D692" t="s">
        <v>1288</v>
      </c>
      <c r="E692" t="s">
        <v>1288</v>
      </c>
      <c r="F692" t="s">
        <v>123</v>
      </c>
      <c r="G692" t="s">
        <v>123</v>
      </c>
      <c r="H692" t="s">
        <v>39</v>
      </c>
      <c r="I692" t="s">
        <v>40</v>
      </c>
      <c r="J692" t="s">
        <v>41</v>
      </c>
      <c r="K692">
        <v>0</v>
      </c>
      <c r="L692">
        <v>0</v>
      </c>
      <c r="M692">
        <v>0</v>
      </c>
      <c r="N692">
        <v>45.800334796999898</v>
      </c>
      <c r="O692">
        <v>45.800198116104397</v>
      </c>
      <c r="P692" t="s">
        <v>41</v>
      </c>
      <c r="Q692">
        <v>0</v>
      </c>
      <c r="R692" t="s">
        <v>50</v>
      </c>
      <c r="S692">
        <v>1986</v>
      </c>
      <c r="T692" t="s">
        <v>66</v>
      </c>
      <c r="U692" t="s">
        <v>51</v>
      </c>
      <c r="V692" t="s">
        <v>1236</v>
      </c>
      <c r="W692" t="s">
        <v>40</v>
      </c>
      <c r="X692" t="s">
        <v>41</v>
      </c>
      <c r="Y692" t="s">
        <v>41</v>
      </c>
      <c r="Z692" t="s">
        <v>43</v>
      </c>
      <c r="AA692">
        <v>1840</v>
      </c>
      <c r="AB692" t="s">
        <v>1271</v>
      </c>
      <c r="AC692" t="s">
        <v>1191</v>
      </c>
      <c r="AD692" t="s">
        <v>1191</v>
      </c>
    </row>
    <row r="693" spans="1:30" x14ac:dyDescent="0.3">
      <c r="A693">
        <v>300408</v>
      </c>
      <c r="B693">
        <v>300408</v>
      </c>
      <c r="C693">
        <v>1</v>
      </c>
      <c r="D693" t="s">
        <v>1289</v>
      </c>
      <c r="E693" t="s">
        <v>1289</v>
      </c>
      <c r="F693" t="s">
        <v>123</v>
      </c>
      <c r="G693" t="s">
        <v>123</v>
      </c>
      <c r="H693" t="s">
        <v>39</v>
      </c>
      <c r="I693" t="s">
        <v>40</v>
      </c>
      <c r="J693" t="s">
        <v>41</v>
      </c>
      <c r="K693">
        <v>0</v>
      </c>
      <c r="L693">
        <v>0</v>
      </c>
      <c r="M693">
        <v>1.29231009812996</v>
      </c>
      <c r="N693">
        <v>222.87656904100001</v>
      </c>
      <c r="O693">
        <v>222.87655821610801</v>
      </c>
      <c r="P693" t="s">
        <v>41</v>
      </c>
      <c r="Q693">
        <v>0</v>
      </c>
      <c r="R693" t="s">
        <v>50</v>
      </c>
      <c r="S693">
        <v>1998</v>
      </c>
      <c r="T693" t="s">
        <v>66</v>
      </c>
      <c r="U693" t="s">
        <v>51</v>
      </c>
      <c r="V693" t="s">
        <v>1236</v>
      </c>
      <c r="W693" t="s">
        <v>40</v>
      </c>
      <c r="X693" t="s">
        <v>41</v>
      </c>
      <c r="Y693" t="s">
        <v>41</v>
      </c>
      <c r="Z693" t="s">
        <v>43</v>
      </c>
      <c r="AA693">
        <v>1840</v>
      </c>
      <c r="AB693" t="s">
        <v>1190</v>
      </c>
      <c r="AC693" t="s">
        <v>1191</v>
      </c>
      <c r="AD693" t="s">
        <v>1191</v>
      </c>
    </row>
    <row r="694" spans="1:30" x14ac:dyDescent="0.3">
      <c r="A694">
        <v>555570793</v>
      </c>
      <c r="B694">
        <v>555570793</v>
      </c>
      <c r="C694">
        <v>1</v>
      </c>
      <c r="D694" t="s">
        <v>1290</v>
      </c>
      <c r="E694" t="s">
        <v>1290</v>
      </c>
      <c r="F694" t="s">
        <v>130</v>
      </c>
      <c r="G694" t="s">
        <v>130</v>
      </c>
      <c r="H694" t="s">
        <v>39</v>
      </c>
      <c r="I694" t="s">
        <v>40</v>
      </c>
      <c r="J694" t="s">
        <v>41</v>
      </c>
      <c r="K694">
        <v>0</v>
      </c>
      <c r="L694">
        <v>0</v>
      </c>
      <c r="M694">
        <v>0</v>
      </c>
      <c r="N694">
        <v>64.920286229119</v>
      </c>
      <c r="O694">
        <v>64.919802458892306</v>
      </c>
      <c r="P694" t="s">
        <v>41</v>
      </c>
      <c r="Q694">
        <v>0</v>
      </c>
      <c r="R694" t="s">
        <v>50</v>
      </c>
      <c r="S694">
        <v>2024</v>
      </c>
      <c r="T694" t="s">
        <v>66</v>
      </c>
      <c r="U694" t="s">
        <v>51</v>
      </c>
      <c r="V694" t="s">
        <v>1193</v>
      </c>
      <c r="W694" t="s">
        <v>40</v>
      </c>
      <c r="X694" t="s">
        <v>41</v>
      </c>
      <c r="Y694" t="s">
        <v>41</v>
      </c>
      <c r="Z694" t="s">
        <v>43</v>
      </c>
      <c r="AA694">
        <v>1840</v>
      </c>
      <c r="AB694" t="s">
        <v>1194</v>
      </c>
      <c r="AC694" t="s">
        <v>1191</v>
      </c>
      <c r="AD694" t="s">
        <v>1191</v>
      </c>
    </row>
    <row r="695" spans="1:30" x14ac:dyDescent="0.3">
      <c r="A695">
        <v>555571094</v>
      </c>
      <c r="B695">
        <v>555571094</v>
      </c>
      <c r="C695">
        <v>1</v>
      </c>
      <c r="D695" t="s">
        <v>1291</v>
      </c>
      <c r="E695" t="s">
        <v>1291</v>
      </c>
      <c r="F695" t="s">
        <v>1188</v>
      </c>
      <c r="G695" t="s">
        <v>1188</v>
      </c>
      <c r="H695" t="s">
        <v>39</v>
      </c>
      <c r="I695" t="s">
        <v>40</v>
      </c>
      <c r="J695" t="s">
        <v>41</v>
      </c>
      <c r="K695">
        <v>0</v>
      </c>
      <c r="L695">
        <v>0</v>
      </c>
      <c r="M695">
        <v>1.6057669913730299</v>
      </c>
      <c r="N695">
        <v>666.247078737538</v>
      </c>
      <c r="O695">
        <v>666.24590309899395</v>
      </c>
      <c r="P695" t="s">
        <v>41</v>
      </c>
      <c r="Q695">
        <v>0</v>
      </c>
      <c r="R695" t="s">
        <v>50</v>
      </c>
      <c r="S695">
        <v>2018</v>
      </c>
      <c r="T695" t="s">
        <v>66</v>
      </c>
      <c r="U695" t="s">
        <v>51</v>
      </c>
      <c r="V695" t="s">
        <v>1292</v>
      </c>
      <c r="W695" t="s">
        <v>40</v>
      </c>
      <c r="X695" t="s">
        <v>41</v>
      </c>
      <c r="Y695" t="s">
        <v>41</v>
      </c>
      <c r="Z695" t="s">
        <v>43</v>
      </c>
      <c r="AA695">
        <v>1840</v>
      </c>
      <c r="AB695" t="s">
        <v>1220</v>
      </c>
      <c r="AC695" t="s">
        <v>1191</v>
      </c>
      <c r="AD695" t="s">
        <v>1191</v>
      </c>
    </row>
    <row r="696" spans="1:30" x14ac:dyDescent="0.3">
      <c r="A696">
        <v>555563478</v>
      </c>
      <c r="B696">
        <v>555563478</v>
      </c>
      <c r="C696">
        <v>1</v>
      </c>
      <c r="D696" t="s">
        <v>1293</v>
      </c>
      <c r="E696" t="s">
        <v>1293</v>
      </c>
      <c r="F696" t="s">
        <v>1188</v>
      </c>
      <c r="G696" t="s">
        <v>1188</v>
      </c>
      <c r="H696" t="s">
        <v>39</v>
      </c>
      <c r="I696" t="s">
        <v>40</v>
      </c>
      <c r="J696" t="s">
        <v>41</v>
      </c>
      <c r="K696">
        <v>0</v>
      </c>
      <c r="L696">
        <v>0</v>
      </c>
      <c r="M696">
        <v>0</v>
      </c>
      <c r="N696">
        <v>568.18153294104502</v>
      </c>
      <c r="O696">
        <v>568.18173690389801</v>
      </c>
      <c r="P696" t="s">
        <v>41</v>
      </c>
      <c r="Q696">
        <v>0</v>
      </c>
      <c r="R696" t="s">
        <v>50</v>
      </c>
      <c r="S696">
        <v>2014</v>
      </c>
      <c r="T696" t="s">
        <v>1181</v>
      </c>
      <c r="U696" t="s">
        <v>1181</v>
      </c>
      <c r="V696" t="s">
        <v>1294</v>
      </c>
      <c r="W696" t="s">
        <v>40</v>
      </c>
      <c r="X696" t="s">
        <v>41</v>
      </c>
      <c r="Y696" t="s">
        <v>41</v>
      </c>
      <c r="Z696" t="s">
        <v>43</v>
      </c>
      <c r="AA696">
        <v>1840</v>
      </c>
      <c r="AB696" t="s">
        <v>1211</v>
      </c>
      <c r="AC696" t="s">
        <v>1191</v>
      </c>
      <c r="AD696" t="s">
        <v>1191</v>
      </c>
    </row>
    <row r="697" spans="1:30" x14ac:dyDescent="0.3">
      <c r="A697">
        <v>555570922</v>
      </c>
      <c r="B697">
        <v>555570922</v>
      </c>
      <c r="C697">
        <v>1</v>
      </c>
      <c r="D697" t="s">
        <v>1295</v>
      </c>
      <c r="E697" t="s">
        <v>1295</v>
      </c>
      <c r="F697" t="s">
        <v>130</v>
      </c>
      <c r="G697" t="s">
        <v>130</v>
      </c>
      <c r="H697" t="s">
        <v>39</v>
      </c>
      <c r="I697" t="s">
        <v>40</v>
      </c>
      <c r="J697" t="s">
        <v>41</v>
      </c>
      <c r="K697">
        <v>0</v>
      </c>
      <c r="L697">
        <v>0</v>
      </c>
      <c r="M697">
        <v>0</v>
      </c>
      <c r="N697">
        <v>210.564569723337</v>
      </c>
      <c r="O697">
        <v>210.564001360936</v>
      </c>
      <c r="P697" t="s">
        <v>41</v>
      </c>
      <c r="Q697">
        <v>0</v>
      </c>
      <c r="R697" t="s">
        <v>50</v>
      </c>
      <c r="S697">
        <v>2025</v>
      </c>
      <c r="T697" t="s">
        <v>66</v>
      </c>
      <c r="U697" t="s">
        <v>51</v>
      </c>
      <c r="V697" t="s">
        <v>1203</v>
      </c>
      <c r="W697" t="s">
        <v>40</v>
      </c>
      <c r="X697" t="s">
        <v>41</v>
      </c>
      <c r="Y697" t="s">
        <v>41</v>
      </c>
      <c r="Z697" t="s">
        <v>43</v>
      </c>
      <c r="AA697">
        <v>1840</v>
      </c>
      <c r="AB697" t="s">
        <v>1204</v>
      </c>
      <c r="AC697" t="s">
        <v>1191</v>
      </c>
      <c r="AD697" t="s">
        <v>1191</v>
      </c>
    </row>
    <row r="698" spans="1:30" x14ac:dyDescent="0.3">
      <c r="A698">
        <v>875</v>
      </c>
      <c r="B698">
        <v>875</v>
      </c>
      <c r="C698">
        <v>1</v>
      </c>
      <c r="D698" t="s">
        <v>1296</v>
      </c>
      <c r="E698" t="s">
        <v>1297</v>
      </c>
      <c r="F698" t="s">
        <v>123</v>
      </c>
      <c r="G698" t="s">
        <v>123</v>
      </c>
      <c r="H698" t="s">
        <v>39</v>
      </c>
      <c r="I698" t="s">
        <v>40</v>
      </c>
      <c r="J698" t="s">
        <v>41</v>
      </c>
      <c r="K698">
        <v>0</v>
      </c>
      <c r="L698">
        <v>0</v>
      </c>
      <c r="M698">
        <v>1.9458080970916301</v>
      </c>
      <c r="N698">
        <v>1538.28143199999</v>
      </c>
      <c r="O698">
        <v>1538.2773238289799</v>
      </c>
      <c r="P698" t="s">
        <v>41</v>
      </c>
      <c r="Q698">
        <v>0</v>
      </c>
      <c r="R698" t="s">
        <v>50</v>
      </c>
      <c r="S698">
        <v>1931</v>
      </c>
      <c r="T698" t="s">
        <v>66</v>
      </c>
      <c r="U698" t="s">
        <v>51</v>
      </c>
      <c r="V698" t="s">
        <v>1236</v>
      </c>
      <c r="W698" t="s">
        <v>40</v>
      </c>
      <c r="X698" t="s">
        <v>41</v>
      </c>
      <c r="Y698" t="s">
        <v>41</v>
      </c>
      <c r="Z698" t="s">
        <v>43</v>
      </c>
      <c r="AA698">
        <v>1840</v>
      </c>
      <c r="AB698" t="s">
        <v>1220</v>
      </c>
      <c r="AC698" t="s">
        <v>1191</v>
      </c>
      <c r="AD698" t="s">
        <v>1191</v>
      </c>
    </row>
  </sheetData>
  <conditionalFormatting sqref="A1:A104857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7F409-135A-4CFF-B45B-6CA0E58A69FD}">
  <dimension ref="A1:I298"/>
  <sheetViews>
    <sheetView workbookViewId="0">
      <selection activeCell="N17" sqref="N17"/>
    </sheetView>
  </sheetViews>
  <sheetFormatPr defaultRowHeight="14.4" x14ac:dyDescent="0.3"/>
  <sheetData>
    <row r="1" spans="1:9" x14ac:dyDescent="0.3">
      <c r="A1" t="s">
        <v>1323</v>
      </c>
      <c r="B1" t="s">
        <v>1324</v>
      </c>
      <c r="C1" t="s">
        <v>1325</v>
      </c>
      <c r="D1" t="s">
        <v>1326</v>
      </c>
      <c r="E1" t="s">
        <v>1327</v>
      </c>
      <c r="F1" t="s">
        <v>1328</v>
      </c>
      <c r="G1" t="s">
        <v>1329</v>
      </c>
      <c r="H1" t="s">
        <v>1330</v>
      </c>
      <c r="I1" t="s">
        <v>1331</v>
      </c>
    </row>
    <row r="2" spans="1:9" x14ac:dyDescent="0.3">
      <c r="A2">
        <v>6001</v>
      </c>
      <c r="B2" t="s">
        <v>1332</v>
      </c>
      <c r="C2" t="s">
        <v>1332</v>
      </c>
      <c r="D2">
        <v>0</v>
      </c>
      <c r="E2">
        <v>-13.7333333332999</v>
      </c>
      <c r="F2">
        <v>15.0666666667</v>
      </c>
      <c r="G2">
        <v>200</v>
      </c>
      <c r="H2" t="s">
        <v>1333</v>
      </c>
      <c r="I2" t="s">
        <v>1103</v>
      </c>
    </row>
    <row r="3" spans="1:9" x14ac:dyDescent="0.3">
      <c r="A3">
        <v>6003</v>
      </c>
      <c r="B3" t="s">
        <v>1334</v>
      </c>
      <c r="C3" t="s">
        <v>1334</v>
      </c>
      <c r="D3">
        <v>0</v>
      </c>
      <c r="E3">
        <v>-8.1833333333299905</v>
      </c>
      <c r="F3">
        <v>15.3833333333</v>
      </c>
      <c r="G3">
        <v>200</v>
      </c>
      <c r="H3" t="s">
        <v>1333</v>
      </c>
      <c r="I3" t="s">
        <v>1103</v>
      </c>
    </row>
    <row r="4" spans="1:9" x14ac:dyDescent="0.3">
      <c r="A4">
        <v>6007</v>
      </c>
      <c r="B4" t="s">
        <v>1335</v>
      </c>
      <c r="C4" t="s">
        <v>1335</v>
      </c>
      <c r="D4">
        <v>0</v>
      </c>
      <c r="E4">
        <v>-9.1333333333300004</v>
      </c>
      <c r="F4">
        <v>18.05</v>
      </c>
      <c r="G4">
        <v>100</v>
      </c>
      <c r="H4" t="s">
        <v>1333</v>
      </c>
      <c r="I4" t="s">
        <v>1103</v>
      </c>
    </row>
    <row r="5" spans="1:9" x14ac:dyDescent="0.3">
      <c r="A5">
        <v>6011</v>
      </c>
      <c r="B5" t="s">
        <v>1322</v>
      </c>
      <c r="C5" t="s">
        <v>1322</v>
      </c>
      <c r="D5">
        <v>0</v>
      </c>
      <c r="E5">
        <v>-16.899999999999899</v>
      </c>
      <c r="F5">
        <v>12.583333333300001</v>
      </c>
      <c r="G5">
        <v>15920</v>
      </c>
      <c r="H5" t="s">
        <v>1333</v>
      </c>
      <c r="I5" t="s">
        <v>1103</v>
      </c>
    </row>
    <row r="6" spans="1:9" x14ac:dyDescent="0.3">
      <c r="A6">
        <v>6012</v>
      </c>
      <c r="B6" t="s">
        <v>1336</v>
      </c>
      <c r="C6" t="s">
        <v>1336</v>
      </c>
      <c r="D6">
        <v>0</v>
      </c>
      <c r="E6">
        <v>-7.8</v>
      </c>
      <c r="F6">
        <v>19.9499999999999</v>
      </c>
      <c r="G6">
        <v>1500</v>
      </c>
      <c r="H6" t="s">
        <v>1333</v>
      </c>
      <c r="I6" t="s">
        <v>1103</v>
      </c>
    </row>
    <row r="7" spans="1:9" x14ac:dyDescent="0.3">
      <c r="A7">
        <v>6013</v>
      </c>
      <c r="B7" t="s">
        <v>1337</v>
      </c>
      <c r="C7" t="s">
        <v>1337</v>
      </c>
      <c r="D7">
        <v>0</v>
      </c>
      <c r="E7">
        <v>-7.3666666666699996</v>
      </c>
      <c r="F7">
        <v>20.833333333300001</v>
      </c>
      <c r="G7">
        <v>20</v>
      </c>
      <c r="H7" t="s">
        <v>1333</v>
      </c>
      <c r="I7" t="s">
        <v>1103</v>
      </c>
    </row>
    <row r="8" spans="1:9" x14ac:dyDescent="0.3">
      <c r="A8">
        <v>6022</v>
      </c>
      <c r="B8" t="s">
        <v>1338</v>
      </c>
      <c r="C8" t="s">
        <v>1338</v>
      </c>
      <c r="D8">
        <v>0</v>
      </c>
      <c r="E8">
        <v>-14.833333333300001</v>
      </c>
      <c r="F8">
        <v>13.4</v>
      </c>
      <c r="G8">
        <v>40</v>
      </c>
      <c r="H8" t="s">
        <v>1333</v>
      </c>
      <c r="I8" t="s">
        <v>1103</v>
      </c>
    </row>
    <row r="9" spans="1:9" x14ac:dyDescent="0.3">
      <c r="A9">
        <v>6026</v>
      </c>
      <c r="B9" t="s">
        <v>1339</v>
      </c>
      <c r="C9" t="s">
        <v>1339</v>
      </c>
      <c r="D9">
        <v>0</v>
      </c>
      <c r="E9">
        <v>12.3666666667</v>
      </c>
      <c r="F9">
        <v>-1.5</v>
      </c>
      <c r="G9">
        <v>2.2999999999999998</v>
      </c>
      <c r="H9" t="s">
        <v>1340</v>
      </c>
      <c r="I9" t="s">
        <v>152</v>
      </c>
    </row>
    <row r="10" spans="1:9" x14ac:dyDescent="0.3">
      <c r="A10">
        <v>6031</v>
      </c>
      <c r="B10" t="s">
        <v>1341</v>
      </c>
      <c r="C10" t="s">
        <v>1341</v>
      </c>
      <c r="D10">
        <v>0</v>
      </c>
      <c r="E10">
        <v>10.75</v>
      </c>
      <c r="F10">
        <v>-4.7166666666700001</v>
      </c>
      <c r="G10">
        <v>150</v>
      </c>
      <c r="H10" t="s">
        <v>1340</v>
      </c>
      <c r="I10" t="s">
        <v>152</v>
      </c>
    </row>
    <row r="11" spans="1:9" x14ac:dyDescent="0.3">
      <c r="A11">
        <v>6036</v>
      </c>
      <c r="B11" t="s">
        <v>1342</v>
      </c>
      <c r="C11" t="s">
        <v>1342</v>
      </c>
      <c r="D11">
        <v>0</v>
      </c>
      <c r="E11">
        <v>-3.2189999999999999</v>
      </c>
      <c r="F11">
        <v>29.241</v>
      </c>
      <c r="G11">
        <v>62</v>
      </c>
      <c r="H11" t="s">
        <v>1343</v>
      </c>
      <c r="I11" t="s">
        <v>658</v>
      </c>
    </row>
    <row r="12" spans="1:9" x14ac:dyDescent="0.3">
      <c r="A12">
        <v>6041</v>
      </c>
      <c r="B12" t="s">
        <v>1344</v>
      </c>
      <c r="C12" t="s">
        <v>1344</v>
      </c>
      <c r="D12">
        <v>0</v>
      </c>
      <c r="E12">
        <v>6.6325217086999997</v>
      </c>
      <c r="F12">
        <v>2.4494933236400001</v>
      </c>
      <c r="G12">
        <v>900</v>
      </c>
      <c r="H12" t="s">
        <v>1345</v>
      </c>
      <c r="I12" t="s">
        <v>53</v>
      </c>
    </row>
    <row r="13" spans="1:9" x14ac:dyDescent="0.3">
      <c r="A13">
        <v>6042</v>
      </c>
      <c r="B13" t="s">
        <v>1346</v>
      </c>
      <c r="C13" t="s">
        <v>1346</v>
      </c>
      <c r="D13">
        <v>0</v>
      </c>
      <c r="E13">
        <v>6.5</v>
      </c>
      <c r="F13">
        <v>1.95</v>
      </c>
      <c r="G13">
        <v>450</v>
      </c>
      <c r="H13" t="s">
        <v>1345</v>
      </c>
      <c r="I13" t="s">
        <v>53</v>
      </c>
    </row>
    <row r="14" spans="1:9" x14ac:dyDescent="0.3">
      <c r="A14">
        <v>6049</v>
      </c>
      <c r="B14" t="s">
        <v>1347</v>
      </c>
      <c r="C14" t="s">
        <v>1347</v>
      </c>
      <c r="D14">
        <v>0</v>
      </c>
      <c r="E14">
        <v>-20.75</v>
      </c>
      <c r="F14">
        <v>25.5</v>
      </c>
      <c r="G14">
        <v>12000</v>
      </c>
      <c r="H14" t="s">
        <v>1348</v>
      </c>
      <c r="I14" t="s">
        <v>962</v>
      </c>
    </row>
    <row r="15" spans="1:9" x14ac:dyDescent="0.3">
      <c r="A15">
        <v>6055</v>
      </c>
      <c r="B15" t="s">
        <v>1349</v>
      </c>
      <c r="C15" t="s">
        <v>1349</v>
      </c>
      <c r="D15">
        <v>0</v>
      </c>
      <c r="E15">
        <v>-25.116666666699899</v>
      </c>
      <c r="F15">
        <v>25.333333333300001</v>
      </c>
      <c r="G15">
        <v>7500</v>
      </c>
      <c r="H15" t="s">
        <v>1348</v>
      </c>
      <c r="I15" t="s">
        <v>962</v>
      </c>
    </row>
    <row r="16" spans="1:9" x14ac:dyDescent="0.3">
      <c r="A16">
        <v>6065</v>
      </c>
      <c r="B16" t="s">
        <v>904</v>
      </c>
      <c r="C16" t="s">
        <v>1350</v>
      </c>
      <c r="D16">
        <v>0</v>
      </c>
      <c r="E16">
        <v>1.6778500000000001</v>
      </c>
      <c r="F16">
        <v>28.490400000000001</v>
      </c>
      <c r="G16">
        <v>13939.5699999999</v>
      </c>
      <c r="H16" t="s">
        <v>1351</v>
      </c>
      <c r="I16" t="s">
        <v>667</v>
      </c>
    </row>
    <row r="17" spans="1:9" x14ac:dyDescent="0.3">
      <c r="A17">
        <v>6066</v>
      </c>
      <c r="B17" t="s">
        <v>1352</v>
      </c>
      <c r="C17" t="s">
        <v>1353</v>
      </c>
      <c r="D17">
        <v>0</v>
      </c>
      <c r="E17">
        <v>-0.39850000000000002</v>
      </c>
      <c r="F17">
        <v>29.5033999999999</v>
      </c>
      <c r="G17">
        <v>7827</v>
      </c>
      <c r="H17" t="s">
        <v>1351</v>
      </c>
      <c r="I17" t="s">
        <v>667</v>
      </c>
    </row>
    <row r="18" spans="1:9" x14ac:dyDescent="0.3">
      <c r="A18">
        <v>6069</v>
      </c>
      <c r="B18" t="s">
        <v>1354</v>
      </c>
      <c r="C18" t="s">
        <v>1355</v>
      </c>
      <c r="D18">
        <v>1</v>
      </c>
      <c r="E18">
        <v>-2.1325500000000002</v>
      </c>
      <c r="F18">
        <v>28.049420000000001</v>
      </c>
      <c r="G18">
        <v>6730.8699999999899</v>
      </c>
      <c r="H18" t="s">
        <v>1351</v>
      </c>
      <c r="I18" t="s">
        <v>667</v>
      </c>
    </row>
    <row r="19" spans="1:9" x14ac:dyDescent="0.3">
      <c r="A19">
        <v>6081</v>
      </c>
      <c r="B19" t="s">
        <v>1356</v>
      </c>
      <c r="C19" t="s">
        <v>1356</v>
      </c>
      <c r="D19">
        <v>0</v>
      </c>
      <c r="E19">
        <v>4.3666666666699996</v>
      </c>
      <c r="F19">
        <v>18.55</v>
      </c>
      <c r="G19">
        <v>220</v>
      </c>
      <c r="H19" t="s">
        <v>1357</v>
      </c>
      <c r="I19" t="s">
        <v>160</v>
      </c>
    </row>
    <row r="20" spans="1:9" x14ac:dyDescent="0.3">
      <c r="A20">
        <v>6083</v>
      </c>
      <c r="B20" t="s">
        <v>1358</v>
      </c>
      <c r="C20" t="s">
        <v>1358</v>
      </c>
      <c r="D20">
        <v>0</v>
      </c>
      <c r="E20">
        <v>2.5</v>
      </c>
      <c r="F20">
        <v>16.1666666666999</v>
      </c>
      <c r="G20">
        <v>4579</v>
      </c>
      <c r="H20" t="s">
        <v>1357</v>
      </c>
      <c r="I20" t="s">
        <v>160</v>
      </c>
    </row>
    <row r="21" spans="1:9" x14ac:dyDescent="0.3">
      <c r="A21">
        <v>6085</v>
      </c>
      <c r="B21" t="s">
        <v>1359</v>
      </c>
      <c r="C21" t="s">
        <v>1360</v>
      </c>
      <c r="D21">
        <v>0</v>
      </c>
      <c r="E21">
        <v>0.97833999999999999</v>
      </c>
      <c r="F21">
        <v>14.9271999999999</v>
      </c>
      <c r="G21">
        <v>13382.3199999999</v>
      </c>
      <c r="H21" t="s">
        <v>1361</v>
      </c>
      <c r="I21" t="s">
        <v>1043</v>
      </c>
    </row>
    <row r="22" spans="1:9" x14ac:dyDescent="0.3">
      <c r="A22">
        <v>6086</v>
      </c>
      <c r="B22" t="s">
        <v>1362</v>
      </c>
      <c r="C22" t="s">
        <v>1362</v>
      </c>
      <c r="D22">
        <v>0</v>
      </c>
      <c r="E22">
        <v>-2.91</v>
      </c>
      <c r="F22">
        <v>15.40244</v>
      </c>
      <c r="G22">
        <v>5239.1499999999896</v>
      </c>
      <c r="H22" t="s">
        <v>1361</v>
      </c>
      <c r="I22" t="s">
        <v>1043</v>
      </c>
    </row>
    <row r="23" spans="1:9" x14ac:dyDescent="0.3">
      <c r="A23">
        <v>6087</v>
      </c>
      <c r="B23" t="s">
        <v>1363</v>
      </c>
      <c r="C23" t="s">
        <v>1364</v>
      </c>
      <c r="D23">
        <v>0</v>
      </c>
      <c r="E23">
        <v>-4.17875</v>
      </c>
      <c r="F23">
        <v>12.33719</v>
      </c>
      <c r="G23">
        <v>1333.0699999999899</v>
      </c>
      <c r="H23" t="s">
        <v>1361</v>
      </c>
      <c r="I23" t="s">
        <v>1043</v>
      </c>
    </row>
    <row r="24" spans="1:9" x14ac:dyDescent="0.3">
      <c r="A24">
        <v>6102</v>
      </c>
      <c r="B24" t="s">
        <v>1365</v>
      </c>
      <c r="C24" t="s">
        <v>1366</v>
      </c>
      <c r="D24">
        <v>0</v>
      </c>
      <c r="E24">
        <v>5.7</v>
      </c>
      <c r="F24">
        <v>-4.0999999999999996</v>
      </c>
      <c r="G24">
        <v>180.62</v>
      </c>
      <c r="H24" t="s">
        <v>1367</v>
      </c>
      <c r="I24" t="s">
        <v>486</v>
      </c>
    </row>
    <row r="25" spans="1:9" x14ac:dyDescent="0.3">
      <c r="A25">
        <v>6105</v>
      </c>
      <c r="B25" t="s">
        <v>1368</v>
      </c>
      <c r="C25" t="s">
        <v>1368</v>
      </c>
      <c r="D25">
        <v>0</v>
      </c>
      <c r="E25">
        <v>11.5623742517</v>
      </c>
      <c r="F25">
        <v>15.0991220301</v>
      </c>
      <c r="G25">
        <v>5000</v>
      </c>
      <c r="H25" t="s">
        <v>1369</v>
      </c>
      <c r="I25" t="s">
        <v>356</v>
      </c>
    </row>
    <row r="26" spans="1:9" x14ac:dyDescent="0.3">
      <c r="A26">
        <v>6110</v>
      </c>
      <c r="B26" t="s">
        <v>1370</v>
      </c>
      <c r="C26" t="s">
        <v>1370</v>
      </c>
      <c r="D26">
        <v>0</v>
      </c>
      <c r="E26">
        <v>8.3333333333299997</v>
      </c>
      <c r="F26">
        <v>13.833333333300001</v>
      </c>
      <c r="G26">
        <v>1800</v>
      </c>
      <c r="H26" t="s">
        <v>1369</v>
      </c>
      <c r="I26" t="s">
        <v>356</v>
      </c>
    </row>
    <row r="27" spans="1:9" x14ac:dyDescent="0.3">
      <c r="A27">
        <v>6136</v>
      </c>
      <c r="B27" t="s">
        <v>1371</v>
      </c>
      <c r="C27" t="s">
        <v>1371</v>
      </c>
      <c r="D27">
        <v>0</v>
      </c>
      <c r="E27">
        <v>2.3028951975099998</v>
      </c>
      <c r="F27">
        <v>15.8882757214999</v>
      </c>
      <c r="G27">
        <v>2170</v>
      </c>
      <c r="H27" t="s">
        <v>1369</v>
      </c>
      <c r="I27" t="s">
        <v>356</v>
      </c>
    </row>
    <row r="28" spans="1:9" x14ac:dyDescent="0.3">
      <c r="A28">
        <v>6154</v>
      </c>
      <c r="B28" t="s">
        <v>1372</v>
      </c>
      <c r="C28" t="s">
        <v>1372</v>
      </c>
      <c r="D28">
        <v>0</v>
      </c>
      <c r="E28">
        <v>11.05</v>
      </c>
      <c r="F28">
        <v>42.799999999999898</v>
      </c>
      <c r="G28">
        <v>423</v>
      </c>
      <c r="H28" t="s">
        <v>1373</v>
      </c>
      <c r="I28" t="s">
        <v>69</v>
      </c>
    </row>
    <row r="29" spans="1:9" x14ac:dyDescent="0.3">
      <c r="A29">
        <v>6170</v>
      </c>
      <c r="B29" t="s">
        <v>1374</v>
      </c>
      <c r="C29" t="s">
        <v>1374</v>
      </c>
      <c r="D29">
        <v>0</v>
      </c>
      <c r="E29">
        <v>35.633499999999898</v>
      </c>
      <c r="F29">
        <v>2.7545000000000002</v>
      </c>
      <c r="G29">
        <v>50</v>
      </c>
      <c r="H29" t="s">
        <v>1375</v>
      </c>
      <c r="I29" t="s">
        <v>182</v>
      </c>
    </row>
    <row r="30" spans="1:9" x14ac:dyDescent="0.3">
      <c r="A30">
        <v>6172</v>
      </c>
      <c r="B30" t="s">
        <v>1376</v>
      </c>
      <c r="C30" t="s">
        <v>1376</v>
      </c>
      <c r="D30">
        <v>0</v>
      </c>
      <c r="E30">
        <v>35.632199999999898</v>
      </c>
      <c r="F30">
        <v>-0.1169</v>
      </c>
      <c r="G30">
        <v>445</v>
      </c>
      <c r="H30" t="s">
        <v>1375</v>
      </c>
      <c r="I30" t="s">
        <v>182</v>
      </c>
    </row>
    <row r="31" spans="1:9" x14ac:dyDescent="0.3">
      <c r="A31">
        <v>6184</v>
      </c>
      <c r="B31" t="s">
        <v>1377</v>
      </c>
      <c r="C31" t="s">
        <v>1377</v>
      </c>
      <c r="D31">
        <v>0</v>
      </c>
      <c r="E31">
        <v>22.933333333299899</v>
      </c>
      <c r="F31">
        <v>5.15</v>
      </c>
      <c r="G31">
        <v>45000</v>
      </c>
      <c r="H31" t="s">
        <v>1375</v>
      </c>
      <c r="I31" t="s">
        <v>182</v>
      </c>
    </row>
    <row r="32" spans="1:9" x14ac:dyDescent="0.3">
      <c r="A32">
        <v>6240</v>
      </c>
      <c r="B32" t="s">
        <v>1378</v>
      </c>
      <c r="C32" t="s">
        <v>1378</v>
      </c>
      <c r="D32">
        <v>0</v>
      </c>
      <c r="E32">
        <v>11.958</v>
      </c>
      <c r="F32">
        <v>37.728000000000002</v>
      </c>
      <c r="G32">
        <v>840</v>
      </c>
      <c r="H32" t="s">
        <v>1379</v>
      </c>
      <c r="I32" t="s">
        <v>370</v>
      </c>
    </row>
    <row r="33" spans="1:9" x14ac:dyDescent="0.3">
      <c r="A33">
        <v>6241</v>
      </c>
      <c r="B33" t="s">
        <v>1380</v>
      </c>
      <c r="C33" t="s">
        <v>1380</v>
      </c>
      <c r="D33">
        <v>0</v>
      </c>
      <c r="E33">
        <v>12.016</v>
      </c>
      <c r="F33">
        <v>37.301000000000002</v>
      </c>
      <c r="G33">
        <v>4000</v>
      </c>
      <c r="H33" t="s">
        <v>1379</v>
      </c>
      <c r="I33" t="s">
        <v>370</v>
      </c>
    </row>
    <row r="34" spans="1:9" x14ac:dyDescent="0.3">
      <c r="A34">
        <v>6244</v>
      </c>
      <c r="B34" t="s">
        <v>1381</v>
      </c>
      <c r="C34" t="s">
        <v>1381</v>
      </c>
      <c r="D34">
        <v>0</v>
      </c>
      <c r="E34">
        <v>10.8666666667</v>
      </c>
      <c r="F34">
        <v>41.25</v>
      </c>
      <c r="G34">
        <v>4731</v>
      </c>
      <c r="H34" t="s">
        <v>1379</v>
      </c>
      <c r="I34" t="s">
        <v>370</v>
      </c>
    </row>
    <row r="35" spans="1:9" x14ac:dyDescent="0.3">
      <c r="A35">
        <v>6246</v>
      </c>
      <c r="B35" t="s">
        <v>1382</v>
      </c>
      <c r="C35" t="s">
        <v>1382</v>
      </c>
      <c r="D35">
        <v>0</v>
      </c>
      <c r="E35">
        <v>10.93</v>
      </c>
      <c r="F35">
        <v>36.719000000000001</v>
      </c>
      <c r="G35">
        <v>1600</v>
      </c>
      <c r="H35" t="s">
        <v>1379</v>
      </c>
      <c r="I35" t="s">
        <v>370</v>
      </c>
    </row>
    <row r="36" spans="1:9" x14ac:dyDescent="0.3">
      <c r="A36">
        <v>6257</v>
      </c>
      <c r="B36" t="s">
        <v>1383</v>
      </c>
      <c r="C36" t="s">
        <v>1383</v>
      </c>
      <c r="D36">
        <v>0</v>
      </c>
      <c r="E36">
        <v>9.0920000000000005</v>
      </c>
      <c r="F36">
        <v>38.768999999999899</v>
      </c>
      <c r="G36">
        <v>23</v>
      </c>
      <c r="H36" t="s">
        <v>1379</v>
      </c>
      <c r="I36" t="s">
        <v>370</v>
      </c>
    </row>
    <row r="37" spans="1:9" x14ac:dyDescent="0.3">
      <c r="A37">
        <v>6258</v>
      </c>
      <c r="B37" t="s">
        <v>1384</v>
      </c>
      <c r="C37" t="s">
        <v>1384</v>
      </c>
      <c r="D37">
        <v>0</v>
      </c>
      <c r="E37">
        <v>9.234</v>
      </c>
      <c r="F37">
        <v>38.75</v>
      </c>
      <c r="G37">
        <v>62</v>
      </c>
      <c r="H37" t="s">
        <v>1379</v>
      </c>
      <c r="I37" t="s">
        <v>370</v>
      </c>
    </row>
    <row r="38" spans="1:9" x14ac:dyDescent="0.3">
      <c r="A38">
        <v>6262</v>
      </c>
      <c r="B38" t="s">
        <v>1385</v>
      </c>
      <c r="C38" t="s">
        <v>1385</v>
      </c>
      <c r="D38">
        <v>0</v>
      </c>
      <c r="E38">
        <v>8.9149999999999903</v>
      </c>
      <c r="F38">
        <v>40.034999999999897</v>
      </c>
      <c r="G38">
        <v>740</v>
      </c>
      <c r="H38" t="s">
        <v>1379</v>
      </c>
      <c r="I38" t="s">
        <v>370</v>
      </c>
    </row>
    <row r="39" spans="1:9" x14ac:dyDescent="0.3">
      <c r="A39">
        <v>6263</v>
      </c>
      <c r="B39" t="s">
        <v>1386</v>
      </c>
      <c r="C39" t="s">
        <v>1386</v>
      </c>
      <c r="D39">
        <v>0</v>
      </c>
      <c r="E39">
        <v>8.827</v>
      </c>
      <c r="F39">
        <v>38.722000000000001</v>
      </c>
      <c r="G39">
        <v>20</v>
      </c>
      <c r="H39" t="s">
        <v>1379</v>
      </c>
      <c r="I39" t="s">
        <v>370</v>
      </c>
    </row>
    <row r="40" spans="1:9" x14ac:dyDescent="0.3">
      <c r="A40">
        <v>6267</v>
      </c>
      <c r="B40" t="s">
        <v>1387</v>
      </c>
      <c r="C40" t="s">
        <v>1387</v>
      </c>
      <c r="D40">
        <v>0</v>
      </c>
      <c r="E40">
        <v>8.6950000000000003</v>
      </c>
      <c r="F40">
        <v>39.069000000000003</v>
      </c>
      <c r="G40">
        <v>240</v>
      </c>
      <c r="H40" t="s">
        <v>1379</v>
      </c>
      <c r="I40" t="s">
        <v>370</v>
      </c>
    </row>
    <row r="41" spans="1:9" x14ac:dyDescent="0.3">
      <c r="A41">
        <v>6282</v>
      </c>
      <c r="B41" t="s">
        <v>1388</v>
      </c>
      <c r="C41" t="s">
        <v>1388</v>
      </c>
      <c r="D41">
        <v>0</v>
      </c>
      <c r="E41">
        <v>7.5410000000000004</v>
      </c>
      <c r="F41">
        <v>38.515999999999899</v>
      </c>
      <c r="G41">
        <v>887</v>
      </c>
      <c r="H41" t="s">
        <v>1379</v>
      </c>
      <c r="I41" t="s">
        <v>370</v>
      </c>
    </row>
    <row r="42" spans="1:9" x14ac:dyDescent="0.3">
      <c r="A42">
        <v>6318</v>
      </c>
      <c r="B42" t="s">
        <v>1389</v>
      </c>
      <c r="C42" t="s">
        <v>1389</v>
      </c>
      <c r="D42">
        <v>0</v>
      </c>
      <c r="E42">
        <v>4.8559999999999999</v>
      </c>
      <c r="F42">
        <v>-2.0473333333300001</v>
      </c>
      <c r="G42">
        <v>50.35</v>
      </c>
      <c r="H42" t="s">
        <v>1390</v>
      </c>
      <c r="I42" t="s">
        <v>215</v>
      </c>
    </row>
    <row r="43" spans="1:9" x14ac:dyDescent="0.3">
      <c r="A43">
        <v>6337</v>
      </c>
      <c r="B43" t="s">
        <v>1391</v>
      </c>
      <c r="C43" t="s">
        <v>1391</v>
      </c>
      <c r="D43">
        <v>0</v>
      </c>
      <c r="E43">
        <v>10.6194392297999</v>
      </c>
      <c r="F43">
        <v>-0.57684761302200005</v>
      </c>
      <c r="G43">
        <v>127.53</v>
      </c>
      <c r="H43" t="s">
        <v>1390</v>
      </c>
      <c r="I43" t="s">
        <v>215</v>
      </c>
    </row>
    <row r="44" spans="1:9" x14ac:dyDescent="0.3">
      <c r="A44">
        <v>6339</v>
      </c>
      <c r="B44" t="s">
        <v>1392</v>
      </c>
      <c r="C44" t="s">
        <v>1392</v>
      </c>
      <c r="D44">
        <v>0</v>
      </c>
      <c r="E44">
        <v>5.9166666666700003</v>
      </c>
      <c r="F44">
        <v>8.3333333333299994E-2</v>
      </c>
      <c r="G44">
        <v>49</v>
      </c>
      <c r="H44" t="s">
        <v>1390</v>
      </c>
      <c r="I44" t="s">
        <v>215</v>
      </c>
    </row>
    <row r="45" spans="1:9" x14ac:dyDescent="0.3">
      <c r="A45">
        <v>6341</v>
      </c>
      <c r="B45" t="s">
        <v>1393</v>
      </c>
      <c r="C45" t="s">
        <v>1393</v>
      </c>
      <c r="D45">
        <v>0</v>
      </c>
      <c r="E45">
        <v>5.0184475155000001</v>
      </c>
      <c r="F45">
        <v>-2.5456509161900001</v>
      </c>
      <c r="G45">
        <v>380.5</v>
      </c>
      <c r="H45" t="s">
        <v>1390</v>
      </c>
      <c r="I45" t="s">
        <v>215</v>
      </c>
    </row>
    <row r="46" spans="1:9" x14ac:dyDescent="0.3">
      <c r="A46">
        <v>6345</v>
      </c>
      <c r="B46" t="s">
        <v>1394</v>
      </c>
      <c r="C46" t="s">
        <v>1394</v>
      </c>
      <c r="D46">
        <v>0</v>
      </c>
      <c r="E46">
        <v>5.6166666666699996</v>
      </c>
      <c r="F46">
        <v>-0.05</v>
      </c>
      <c r="G46">
        <v>39</v>
      </c>
      <c r="H46" t="s">
        <v>1390</v>
      </c>
      <c r="I46" t="s">
        <v>215</v>
      </c>
    </row>
    <row r="47" spans="1:9" x14ac:dyDescent="0.3">
      <c r="A47">
        <v>6350</v>
      </c>
      <c r="B47" t="s">
        <v>1395</v>
      </c>
      <c r="C47" t="s">
        <v>1395</v>
      </c>
      <c r="D47">
        <v>0</v>
      </c>
      <c r="E47">
        <v>13.4166666666999</v>
      </c>
      <c r="F47">
        <v>-16.616666666699899</v>
      </c>
      <c r="G47">
        <v>45</v>
      </c>
      <c r="H47" t="s">
        <v>1396</v>
      </c>
      <c r="I47" t="s">
        <v>937</v>
      </c>
    </row>
    <row r="48" spans="1:9" x14ac:dyDescent="0.3">
      <c r="A48">
        <v>6370</v>
      </c>
      <c r="B48" t="s">
        <v>1397</v>
      </c>
      <c r="C48" t="s">
        <v>1397</v>
      </c>
      <c r="D48">
        <v>0</v>
      </c>
      <c r="E48">
        <v>9.9333333333299905</v>
      </c>
      <c r="F48">
        <v>-13.583333333300001</v>
      </c>
      <c r="G48">
        <v>49</v>
      </c>
      <c r="H48" t="s">
        <v>1398</v>
      </c>
      <c r="I48" t="s">
        <v>506</v>
      </c>
    </row>
    <row r="49" spans="1:9" x14ac:dyDescent="0.3">
      <c r="A49">
        <v>6371</v>
      </c>
      <c r="B49" t="s">
        <v>973</v>
      </c>
      <c r="C49" t="s">
        <v>973</v>
      </c>
      <c r="D49">
        <v>0</v>
      </c>
      <c r="E49">
        <v>9.8666666666699996</v>
      </c>
      <c r="F49">
        <v>-13.1166666667</v>
      </c>
      <c r="G49">
        <v>134</v>
      </c>
      <c r="H49" t="s">
        <v>1398</v>
      </c>
      <c r="I49" t="s">
        <v>506</v>
      </c>
    </row>
    <row r="50" spans="1:9" x14ac:dyDescent="0.3">
      <c r="A50">
        <v>6372</v>
      </c>
      <c r="B50" t="s">
        <v>1399</v>
      </c>
      <c r="C50" t="s">
        <v>1399</v>
      </c>
      <c r="D50">
        <v>0</v>
      </c>
      <c r="E50">
        <v>9.7833333333300008</v>
      </c>
      <c r="F50">
        <v>-13.6833333333</v>
      </c>
      <c r="G50">
        <v>900</v>
      </c>
      <c r="H50" t="s">
        <v>1398</v>
      </c>
      <c r="I50" t="s">
        <v>506</v>
      </c>
    </row>
    <row r="51" spans="1:9" x14ac:dyDescent="0.3">
      <c r="A51">
        <v>6384</v>
      </c>
      <c r="B51" t="s">
        <v>1400</v>
      </c>
      <c r="C51" t="s">
        <v>1400</v>
      </c>
      <c r="D51">
        <v>0</v>
      </c>
      <c r="E51">
        <v>11.931848086600001</v>
      </c>
      <c r="F51">
        <v>-15.771468343900001</v>
      </c>
      <c r="G51">
        <v>1197.43</v>
      </c>
      <c r="H51" t="s">
        <v>1401</v>
      </c>
      <c r="I51" t="s">
        <v>740</v>
      </c>
    </row>
    <row r="52" spans="1:9" x14ac:dyDescent="0.3">
      <c r="A52">
        <v>6385</v>
      </c>
      <c r="B52" t="s">
        <v>1402</v>
      </c>
      <c r="C52" t="s">
        <v>1402</v>
      </c>
      <c r="D52">
        <v>0</v>
      </c>
      <c r="E52">
        <v>11.722286473200001</v>
      </c>
      <c r="F52">
        <v>-14.519950911700001</v>
      </c>
      <c r="G52">
        <v>1770</v>
      </c>
      <c r="H52" t="s">
        <v>1401</v>
      </c>
      <c r="I52" t="s">
        <v>740</v>
      </c>
    </row>
    <row r="53" spans="1:9" x14ac:dyDescent="0.3">
      <c r="A53">
        <v>6390</v>
      </c>
      <c r="B53" t="s">
        <v>1403</v>
      </c>
      <c r="C53" t="s">
        <v>1403</v>
      </c>
      <c r="D53">
        <v>0</v>
      </c>
      <c r="E53">
        <v>11.3756533021</v>
      </c>
      <c r="F53">
        <v>-14.956527875600001</v>
      </c>
      <c r="G53">
        <v>883.57</v>
      </c>
      <c r="H53" t="s">
        <v>1401</v>
      </c>
      <c r="I53" t="s">
        <v>740</v>
      </c>
    </row>
    <row r="54" spans="1:9" x14ac:dyDescent="0.3">
      <c r="A54">
        <v>6393</v>
      </c>
      <c r="B54" t="s">
        <v>1404</v>
      </c>
      <c r="C54" t="s">
        <v>1404</v>
      </c>
      <c r="D54">
        <v>0</v>
      </c>
      <c r="E54">
        <v>-0.9</v>
      </c>
      <c r="F54">
        <v>36.674999999999898</v>
      </c>
      <c r="G54">
        <v>370</v>
      </c>
      <c r="H54" t="s">
        <v>1405</v>
      </c>
      <c r="I54" t="s">
        <v>87</v>
      </c>
    </row>
    <row r="55" spans="1:9" x14ac:dyDescent="0.3">
      <c r="A55">
        <v>6394</v>
      </c>
      <c r="B55" t="s">
        <v>1406</v>
      </c>
      <c r="C55" t="s">
        <v>1406</v>
      </c>
      <c r="D55">
        <v>0</v>
      </c>
      <c r="E55">
        <v>-0.65300000000000002</v>
      </c>
      <c r="F55">
        <v>36.563000000000002</v>
      </c>
      <c r="G55">
        <v>720</v>
      </c>
      <c r="H55" t="s">
        <v>1405</v>
      </c>
      <c r="I55" t="s">
        <v>87</v>
      </c>
    </row>
    <row r="56" spans="1:9" x14ac:dyDescent="0.3">
      <c r="A56">
        <v>6395</v>
      </c>
      <c r="B56" t="s">
        <v>945</v>
      </c>
      <c r="C56" t="s">
        <v>945</v>
      </c>
      <c r="D56">
        <v>1</v>
      </c>
      <c r="E56">
        <v>-0.18236582695799999</v>
      </c>
      <c r="F56">
        <v>37.333578087100001</v>
      </c>
      <c r="G56">
        <v>2579.9608733700002</v>
      </c>
      <c r="H56" t="s">
        <v>1405</v>
      </c>
      <c r="I56" t="s">
        <v>87</v>
      </c>
    </row>
    <row r="57" spans="1:9" x14ac:dyDescent="0.3">
      <c r="A57">
        <v>6396</v>
      </c>
      <c r="B57" t="s">
        <v>1407</v>
      </c>
      <c r="C57" t="s">
        <v>1407</v>
      </c>
      <c r="D57">
        <v>0</v>
      </c>
      <c r="E57">
        <v>-0.59799999999999998</v>
      </c>
      <c r="F57">
        <v>36.994999999999898</v>
      </c>
      <c r="G57">
        <v>1100</v>
      </c>
      <c r="H57" t="s">
        <v>1405</v>
      </c>
      <c r="I57" t="s">
        <v>87</v>
      </c>
    </row>
    <row r="58" spans="1:9" x14ac:dyDescent="0.3">
      <c r="A58">
        <v>6412</v>
      </c>
      <c r="B58" t="s">
        <v>1408</v>
      </c>
      <c r="C58" t="s">
        <v>1408</v>
      </c>
      <c r="D58">
        <v>0</v>
      </c>
      <c r="E58">
        <v>-2.5</v>
      </c>
      <c r="F58">
        <v>40.333333333299898</v>
      </c>
      <c r="G58">
        <v>1300</v>
      </c>
      <c r="H58" t="s">
        <v>1405</v>
      </c>
      <c r="I58" t="s">
        <v>87</v>
      </c>
    </row>
    <row r="59" spans="1:9" x14ac:dyDescent="0.3">
      <c r="A59">
        <v>6413</v>
      </c>
      <c r="B59" t="s">
        <v>1409</v>
      </c>
      <c r="C59" t="s">
        <v>1409</v>
      </c>
      <c r="D59">
        <v>1</v>
      </c>
      <c r="E59">
        <v>-2.1666666666699999</v>
      </c>
      <c r="F59">
        <v>40.166666666700003</v>
      </c>
      <c r="G59">
        <v>37</v>
      </c>
      <c r="H59" t="s">
        <v>1405</v>
      </c>
      <c r="I59" t="s">
        <v>87</v>
      </c>
    </row>
    <row r="60" spans="1:9" x14ac:dyDescent="0.3">
      <c r="A60">
        <v>6414</v>
      </c>
      <c r="B60" t="s">
        <v>1410</v>
      </c>
      <c r="C60" t="s">
        <v>1410</v>
      </c>
      <c r="D60">
        <v>0</v>
      </c>
      <c r="E60">
        <v>-2.75</v>
      </c>
      <c r="F60">
        <v>38.583333333299898</v>
      </c>
      <c r="G60">
        <v>11750</v>
      </c>
      <c r="H60" t="s">
        <v>1405</v>
      </c>
      <c r="I60" t="s">
        <v>87</v>
      </c>
    </row>
    <row r="61" spans="1:9" x14ac:dyDescent="0.3">
      <c r="A61">
        <v>6415</v>
      </c>
      <c r="B61" t="s">
        <v>1411</v>
      </c>
      <c r="C61" t="s">
        <v>1411</v>
      </c>
      <c r="D61">
        <v>0</v>
      </c>
      <c r="E61">
        <v>-2.8333333333300001</v>
      </c>
      <c r="F61">
        <v>38.166666666700003</v>
      </c>
      <c r="G61">
        <v>9065</v>
      </c>
      <c r="H61" t="s">
        <v>1405</v>
      </c>
      <c r="I61" t="s">
        <v>87</v>
      </c>
    </row>
    <row r="62" spans="1:9" x14ac:dyDescent="0.3">
      <c r="A62">
        <v>6417</v>
      </c>
      <c r="B62" t="s">
        <v>1412</v>
      </c>
      <c r="C62" t="s">
        <v>1412</v>
      </c>
      <c r="D62">
        <v>0</v>
      </c>
      <c r="E62">
        <v>2.6666666666699999</v>
      </c>
      <c r="F62">
        <v>38.083333333299898</v>
      </c>
      <c r="G62">
        <v>6200</v>
      </c>
      <c r="H62" t="s">
        <v>1405</v>
      </c>
      <c r="I62" t="s">
        <v>87</v>
      </c>
    </row>
    <row r="63" spans="1:9" x14ac:dyDescent="0.3">
      <c r="A63">
        <v>6421</v>
      </c>
      <c r="B63" t="s">
        <v>1413</v>
      </c>
      <c r="C63" t="s">
        <v>1413</v>
      </c>
      <c r="D63">
        <v>0</v>
      </c>
      <c r="E63">
        <v>-0.166666666667</v>
      </c>
      <c r="F63">
        <v>38.416666666700003</v>
      </c>
      <c r="G63">
        <v>870</v>
      </c>
      <c r="H63" t="s">
        <v>1405</v>
      </c>
      <c r="I63" t="s">
        <v>87</v>
      </c>
    </row>
    <row r="64" spans="1:9" x14ac:dyDescent="0.3">
      <c r="A64">
        <v>6426</v>
      </c>
      <c r="B64" t="s">
        <v>1414</v>
      </c>
      <c r="C64" t="s">
        <v>1414</v>
      </c>
      <c r="D64">
        <v>0</v>
      </c>
      <c r="E64">
        <v>-1.35</v>
      </c>
      <c r="F64">
        <v>36.866666666699899</v>
      </c>
      <c r="G64">
        <v>117</v>
      </c>
      <c r="H64" t="s">
        <v>1405</v>
      </c>
      <c r="I64" t="s">
        <v>87</v>
      </c>
    </row>
    <row r="65" spans="1:9" x14ac:dyDescent="0.3">
      <c r="A65">
        <v>6438</v>
      </c>
      <c r="B65" t="s">
        <v>510</v>
      </c>
      <c r="C65" t="s">
        <v>510</v>
      </c>
      <c r="D65">
        <v>0</v>
      </c>
      <c r="E65">
        <v>-0.76666666666700001</v>
      </c>
      <c r="F65">
        <v>36.35</v>
      </c>
      <c r="G65">
        <v>236</v>
      </c>
      <c r="H65" t="s">
        <v>1405</v>
      </c>
      <c r="I65" t="s">
        <v>87</v>
      </c>
    </row>
    <row r="66" spans="1:9" x14ac:dyDescent="0.3">
      <c r="A66">
        <v>6440</v>
      </c>
      <c r="B66" t="s">
        <v>1415</v>
      </c>
      <c r="C66" t="s">
        <v>1415</v>
      </c>
      <c r="D66">
        <v>0</v>
      </c>
      <c r="E66">
        <v>-1.357</v>
      </c>
      <c r="F66">
        <v>35.307000000000002</v>
      </c>
      <c r="G66">
        <v>5300</v>
      </c>
      <c r="H66" t="s">
        <v>1405</v>
      </c>
      <c r="I66" t="s">
        <v>87</v>
      </c>
    </row>
    <row r="67" spans="1:9" x14ac:dyDescent="0.3">
      <c r="A67">
        <v>6441</v>
      </c>
      <c r="B67" t="s">
        <v>1416</v>
      </c>
      <c r="C67" t="s">
        <v>1416</v>
      </c>
      <c r="D67">
        <v>0</v>
      </c>
      <c r="E67">
        <v>-0.55000000000000004</v>
      </c>
      <c r="F67">
        <v>35.648000000000003</v>
      </c>
      <c r="G67">
        <v>2700</v>
      </c>
      <c r="H67" t="s">
        <v>1405</v>
      </c>
      <c r="I67" t="s">
        <v>87</v>
      </c>
    </row>
    <row r="68" spans="1:9" x14ac:dyDescent="0.3">
      <c r="A68">
        <v>6461</v>
      </c>
      <c r="B68" t="s">
        <v>1417</v>
      </c>
      <c r="C68" t="s">
        <v>1417</v>
      </c>
      <c r="D68">
        <v>0</v>
      </c>
      <c r="E68">
        <v>5.5166666666699999</v>
      </c>
      <c r="F68">
        <v>-9.35</v>
      </c>
      <c r="G68">
        <v>1468</v>
      </c>
      <c r="H68" t="s">
        <v>1418</v>
      </c>
      <c r="I68" t="s">
        <v>980</v>
      </c>
    </row>
    <row r="69" spans="1:9" x14ac:dyDescent="0.3">
      <c r="A69">
        <v>6471</v>
      </c>
      <c r="B69" t="s">
        <v>1419</v>
      </c>
      <c r="C69" t="s">
        <v>1419</v>
      </c>
      <c r="D69">
        <v>0</v>
      </c>
      <c r="E69">
        <v>32.527500000000003</v>
      </c>
      <c r="F69">
        <v>21.2623333332999</v>
      </c>
      <c r="G69">
        <v>1000</v>
      </c>
      <c r="H69" t="s">
        <v>1420</v>
      </c>
      <c r="I69" t="s">
        <v>1421</v>
      </c>
    </row>
    <row r="70" spans="1:9" x14ac:dyDescent="0.3">
      <c r="A70">
        <v>6473</v>
      </c>
      <c r="B70" t="s">
        <v>1422</v>
      </c>
      <c r="C70" t="s">
        <v>1422</v>
      </c>
      <c r="D70">
        <v>0</v>
      </c>
      <c r="E70">
        <v>32.2804</v>
      </c>
      <c r="F70">
        <v>23.2819</v>
      </c>
      <c r="G70">
        <v>1100</v>
      </c>
      <c r="H70" t="s">
        <v>1420</v>
      </c>
      <c r="I70" t="s">
        <v>1421</v>
      </c>
    </row>
    <row r="71" spans="1:9" x14ac:dyDescent="0.3">
      <c r="A71">
        <v>6474</v>
      </c>
      <c r="B71" t="s">
        <v>1423</v>
      </c>
      <c r="C71" t="s">
        <v>1423</v>
      </c>
      <c r="D71">
        <v>0</v>
      </c>
      <c r="E71">
        <v>32.107700000000001</v>
      </c>
      <c r="F71">
        <v>12.7913999999999</v>
      </c>
      <c r="G71">
        <v>200</v>
      </c>
      <c r="H71" t="s">
        <v>1420</v>
      </c>
      <c r="I71" t="s">
        <v>1421</v>
      </c>
    </row>
    <row r="72" spans="1:9" x14ac:dyDescent="0.3">
      <c r="A72">
        <v>6513</v>
      </c>
      <c r="B72" t="s">
        <v>1424</v>
      </c>
      <c r="C72" t="s">
        <v>1424</v>
      </c>
      <c r="D72">
        <v>0</v>
      </c>
      <c r="E72">
        <v>30.0613999999999</v>
      </c>
      <c r="F72">
        <v>-9.6715999999999998</v>
      </c>
      <c r="G72">
        <v>638</v>
      </c>
      <c r="H72" t="s">
        <v>1425</v>
      </c>
      <c r="I72" t="s">
        <v>412</v>
      </c>
    </row>
    <row r="73" spans="1:9" x14ac:dyDescent="0.3">
      <c r="A73">
        <v>6516</v>
      </c>
      <c r="B73" t="s">
        <v>1426</v>
      </c>
      <c r="C73" t="s">
        <v>1426</v>
      </c>
      <c r="D73">
        <v>0</v>
      </c>
      <c r="E73">
        <v>28.1294</v>
      </c>
      <c r="F73">
        <v>-11.6502</v>
      </c>
      <c r="G73">
        <v>3</v>
      </c>
      <c r="H73" t="s">
        <v>1425</v>
      </c>
      <c r="I73" t="s">
        <v>412</v>
      </c>
    </row>
    <row r="74" spans="1:9" x14ac:dyDescent="0.3">
      <c r="A74">
        <v>6517</v>
      </c>
      <c r="B74" t="s">
        <v>1427</v>
      </c>
      <c r="C74" t="s">
        <v>1427</v>
      </c>
      <c r="D74">
        <v>0</v>
      </c>
      <c r="E74">
        <v>27.910599999999899</v>
      </c>
      <c r="F74">
        <v>-12.2249</v>
      </c>
      <c r="G74">
        <v>200</v>
      </c>
      <c r="H74" t="s">
        <v>1425</v>
      </c>
      <c r="I74" t="s">
        <v>412</v>
      </c>
    </row>
    <row r="75" spans="1:9" x14ac:dyDescent="0.3">
      <c r="A75">
        <v>6518</v>
      </c>
      <c r="B75" t="s">
        <v>1428</v>
      </c>
      <c r="C75" t="s">
        <v>1428</v>
      </c>
      <c r="D75">
        <v>0</v>
      </c>
      <c r="E75">
        <v>27.1770999999999</v>
      </c>
      <c r="F75">
        <v>-13.266500000000001</v>
      </c>
      <c r="G75">
        <v>6</v>
      </c>
      <c r="H75" t="s">
        <v>1425</v>
      </c>
      <c r="I75" t="s">
        <v>412</v>
      </c>
    </row>
    <row r="76" spans="1:9" x14ac:dyDescent="0.3">
      <c r="A76">
        <v>6519</v>
      </c>
      <c r="B76" t="s">
        <v>1429</v>
      </c>
      <c r="C76" t="s">
        <v>1429</v>
      </c>
      <c r="D76">
        <v>0</v>
      </c>
      <c r="E76">
        <v>25.583333333300001</v>
      </c>
      <c r="F76">
        <v>-14.6833333333</v>
      </c>
      <c r="G76">
        <v>7.5</v>
      </c>
      <c r="H76" t="s">
        <v>1425</v>
      </c>
      <c r="I76" t="s">
        <v>412</v>
      </c>
    </row>
    <row r="77" spans="1:9" x14ac:dyDescent="0.3">
      <c r="A77">
        <v>6520</v>
      </c>
      <c r="B77" t="s">
        <v>1430</v>
      </c>
      <c r="C77" t="s">
        <v>1430</v>
      </c>
      <c r="D77">
        <v>0</v>
      </c>
      <c r="E77">
        <v>23.6999999999999</v>
      </c>
      <c r="F77">
        <v>-15.85</v>
      </c>
      <c r="G77">
        <v>212</v>
      </c>
      <c r="H77" t="s">
        <v>1425</v>
      </c>
      <c r="I77" t="s">
        <v>412</v>
      </c>
    </row>
    <row r="78" spans="1:9" x14ac:dyDescent="0.3">
      <c r="A78">
        <v>6521</v>
      </c>
      <c r="B78" t="s">
        <v>1431</v>
      </c>
      <c r="C78" t="s">
        <v>1431</v>
      </c>
      <c r="D78">
        <v>0</v>
      </c>
      <c r="E78">
        <v>22.1666666666999</v>
      </c>
      <c r="F78">
        <v>-15.9499999999999</v>
      </c>
      <c r="G78">
        <v>20000</v>
      </c>
      <c r="H78" t="s">
        <v>1425</v>
      </c>
      <c r="I78" t="s">
        <v>412</v>
      </c>
    </row>
    <row r="79" spans="1:9" x14ac:dyDescent="0.3">
      <c r="A79">
        <v>6628</v>
      </c>
      <c r="B79" t="s">
        <v>1432</v>
      </c>
      <c r="C79" t="s">
        <v>1432</v>
      </c>
      <c r="D79">
        <v>0</v>
      </c>
      <c r="E79">
        <v>20.9666666667</v>
      </c>
      <c r="F79">
        <v>-17.016666666700001</v>
      </c>
      <c r="G79">
        <v>3100</v>
      </c>
      <c r="H79" t="s">
        <v>1433</v>
      </c>
      <c r="I79" t="s">
        <v>520</v>
      </c>
    </row>
    <row r="80" spans="1:9" x14ac:dyDescent="0.3">
      <c r="A80">
        <v>6629</v>
      </c>
      <c r="B80" t="s">
        <v>900</v>
      </c>
      <c r="C80" t="s">
        <v>900</v>
      </c>
      <c r="D80">
        <v>0</v>
      </c>
      <c r="E80">
        <v>20.116666666699899</v>
      </c>
      <c r="F80">
        <v>-16.266666666700001</v>
      </c>
      <c r="G80">
        <v>11730</v>
      </c>
      <c r="H80" t="s">
        <v>1433</v>
      </c>
      <c r="I80" t="s">
        <v>520</v>
      </c>
    </row>
    <row r="81" spans="1:9" x14ac:dyDescent="0.3">
      <c r="A81">
        <v>6634</v>
      </c>
      <c r="B81" t="s">
        <v>1434</v>
      </c>
      <c r="C81" t="s">
        <v>1434</v>
      </c>
      <c r="D81">
        <v>0</v>
      </c>
      <c r="E81">
        <v>17.366666666699899</v>
      </c>
      <c r="F81">
        <v>-16.133333333300001</v>
      </c>
      <c r="G81">
        <v>84</v>
      </c>
      <c r="H81" t="s">
        <v>1433</v>
      </c>
      <c r="I81" t="s">
        <v>520</v>
      </c>
    </row>
    <row r="82" spans="1:9" x14ac:dyDescent="0.3">
      <c r="A82">
        <v>6674</v>
      </c>
      <c r="B82" t="s">
        <v>1435</v>
      </c>
      <c r="C82" t="s">
        <v>1435</v>
      </c>
      <c r="D82">
        <v>0</v>
      </c>
      <c r="E82">
        <v>-14.083333333300001</v>
      </c>
      <c r="F82">
        <v>35.299999999999898</v>
      </c>
      <c r="G82">
        <v>869.94</v>
      </c>
      <c r="H82" t="s">
        <v>1436</v>
      </c>
      <c r="I82" t="s">
        <v>888</v>
      </c>
    </row>
    <row r="83" spans="1:9" x14ac:dyDescent="0.3">
      <c r="A83">
        <v>6701</v>
      </c>
      <c r="B83" t="s">
        <v>1437</v>
      </c>
      <c r="C83" t="s">
        <v>1437</v>
      </c>
      <c r="D83">
        <v>0</v>
      </c>
      <c r="E83">
        <v>-18.3</v>
      </c>
      <c r="F83">
        <v>23.75</v>
      </c>
      <c r="G83">
        <v>4680</v>
      </c>
      <c r="H83" t="s">
        <v>1438</v>
      </c>
      <c r="I83" t="s">
        <v>1141</v>
      </c>
    </row>
    <row r="84" spans="1:9" x14ac:dyDescent="0.3">
      <c r="A84">
        <v>6702</v>
      </c>
      <c r="B84" t="s">
        <v>1439</v>
      </c>
      <c r="C84" t="s">
        <v>1439</v>
      </c>
      <c r="D84">
        <v>0</v>
      </c>
      <c r="E84">
        <v>-18.3</v>
      </c>
      <c r="F84">
        <v>20.616666666699899</v>
      </c>
      <c r="G84">
        <v>244.62</v>
      </c>
      <c r="H84" t="s">
        <v>1438</v>
      </c>
      <c r="I84" t="s">
        <v>1141</v>
      </c>
    </row>
    <row r="85" spans="1:9" x14ac:dyDescent="0.3">
      <c r="A85">
        <v>6711</v>
      </c>
      <c r="B85" t="s">
        <v>1440</v>
      </c>
      <c r="C85" t="s">
        <v>1440</v>
      </c>
      <c r="D85">
        <v>0</v>
      </c>
      <c r="E85">
        <v>-22.8</v>
      </c>
      <c r="F85">
        <v>14.516666666700001</v>
      </c>
      <c r="G85">
        <v>21</v>
      </c>
      <c r="H85" t="s">
        <v>1438</v>
      </c>
      <c r="I85" t="s">
        <v>1141</v>
      </c>
    </row>
    <row r="86" spans="1:9" x14ac:dyDescent="0.3">
      <c r="A86">
        <v>6720</v>
      </c>
      <c r="B86" t="s">
        <v>1441</v>
      </c>
      <c r="C86" t="s">
        <v>1441</v>
      </c>
      <c r="D86">
        <v>0</v>
      </c>
      <c r="E86">
        <v>12.833333333300001</v>
      </c>
      <c r="F86">
        <v>1.6666666666700001</v>
      </c>
      <c r="G86">
        <v>2000</v>
      </c>
      <c r="H86" t="s">
        <v>1442</v>
      </c>
      <c r="I86" t="s">
        <v>196</v>
      </c>
    </row>
    <row r="87" spans="1:9" x14ac:dyDescent="0.3">
      <c r="A87">
        <v>6741</v>
      </c>
      <c r="B87" t="s">
        <v>1443</v>
      </c>
      <c r="C87" t="s">
        <v>1443</v>
      </c>
      <c r="D87">
        <v>0</v>
      </c>
      <c r="E87">
        <v>6.8747411137799999</v>
      </c>
      <c r="F87">
        <v>4.3514800719300002</v>
      </c>
      <c r="G87">
        <v>1320</v>
      </c>
      <c r="H87" t="s">
        <v>1444</v>
      </c>
      <c r="I87" t="s">
        <v>440</v>
      </c>
    </row>
    <row r="88" spans="1:9" x14ac:dyDescent="0.3">
      <c r="A88">
        <v>6804</v>
      </c>
      <c r="B88" t="s">
        <v>1445</v>
      </c>
      <c r="C88" t="s">
        <v>1445</v>
      </c>
      <c r="D88">
        <v>0</v>
      </c>
      <c r="E88">
        <v>14.5</v>
      </c>
      <c r="F88">
        <v>33.166666666700003</v>
      </c>
      <c r="G88">
        <v>8500</v>
      </c>
      <c r="H88" t="s">
        <v>1446</v>
      </c>
      <c r="I88" t="s">
        <v>1447</v>
      </c>
    </row>
    <row r="89" spans="1:9" x14ac:dyDescent="0.3">
      <c r="A89">
        <v>6806</v>
      </c>
      <c r="B89" t="s">
        <v>1448</v>
      </c>
      <c r="C89" t="s">
        <v>1448</v>
      </c>
      <c r="D89">
        <v>0</v>
      </c>
      <c r="E89">
        <v>13.0666666667</v>
      </c>
      <c r="F89">
        <v>24.35</v>
      </c>
      <c r="G89">
        <v>1500</v>
      </c>
      <c r="H89" t="s">
        <v>1446</v>
      </c>
      <c r="I89" t="s">
        <v>1447</v>
      </c>
    </row>
    <row r="90" spans="1:9" x14ac:dyDescent="0.3">
      <c r="A90">
        <v>6807</v>
      </c>
      <c r="B90" t="s">
        <v>1449</v>
      </c>
      <c r="C90" t="s">
        <v>1449</v>
      </c>
      <c r="D90">
        <v>0</v>
      </c>
      <c r="E90">
        <v>12.5</v>
      </c>
      <c r="F90">
        <v>28.5</v>
      </c>
      <c r="G90">
        <v>25000</v>
      </c>
      <c r="H90" t="s">
        <v>1446</v>
      </c>
      <c r="I90" t="s">
        <v>1447</v>
      </c>
    </row>
    <row r="91" spans="1:9" x14ac:dyDescent="0.3">
      <c r="A91">
        <v>6813</v>
      </c>
      <c r="B91" t="s">
        <v>1450</v>
      </c>
      <c r="C91" t="s">
        <v>1450</v>
      </c>
      <c r="D91">
        <v>1</v>
      </c>
      <c r="E91">
        <v>8</v>
      </c>
      <c r="F91">
        <v>31</v>
      </c>
      <c r="G91">
        <v>55000</v>
      </c>
      <c r="H91" t="s">
        <v>1451</v>
      </c>
      <c r="I91" t="s">
        <v>121</v>
      </c>
    </row>
    <row r="92" spans="1:9" x14ac:dyDescent="0.3">
      <c r="A92">
        <v>6816</v>
      </c>
      <c r="B92" t="s">
        <v>1452</v>
      </c>
      <c r="C92" t="s">
        <v>1452</v>
      </c>
      <c r="D92">
        <v>0</v>
      </c>
      <c r="E92">
        <v>5.3333333333299997</v>
      </c>
      <c r="F92">
        <v>32.133333333300001</v>
      </c>
      <c r="G92">
        <v>16500</v>
      </c>
      <c r="H92" t="s">
        <v>1451</v>
      </c>
      <c r="I92" t="s">
        <v>121</v>
      </c>
    </row>
    <row r="93" spans="1:9" x14ac:dyDescent="0.3">
      <c r="A93">
        <v>6819</v>
      </c>
      <c r="B93" t="s">
        <v>1453</v>
      </c>
      <c r="C93" t="s">
        <v>1453</v>
      </c>
      <c r="D93">
        <v>0</v>
      </c>
      <c r="E93">
        <v>4.0949999999999998</v>
      </c>
      <c r="F93">
        <v>32.520000000000003</v>
      </c>
      <c r="G93">
        <v>5700</v>
      </c>
      <c r="H93" t="s">
        <v>1451</v>
      </c>
      <c r="I93" t="s">
        <v>121</v>
      </c>
    </row>
    <row r="94" spans="1:9" x14ac:dyDescent="0.3">
      <c r="A94">
        <v>6820</v>
      </c>
      <c r="B94" t="s">
        <v>1454</v>
      </c>
      <c r="C94" t="s">
        <v>1454</v>
      </c>
      <c r="D94">
        <v>0</v>
      </c>
      <c r="E94">
        <v>4.2359999999999998</v>
      </c>
      <c r="F94">
        <v>33.344000000000001</v>
      </c>
      <c r="G94">
        <v>7500</v>
      </c>
      <c r="H94" t="s">
        <v>1451</v>
      </c>
      <c r="I94" t="s">
        <v>121</v>
      </c>
    </row>
    <row r="95" spans="1:9" x14ac:dyDescent="0.3">
      <c r="A95">
        <v>6841</v>
      </c>
      <c r="B95" t="s">
        <v>1455</v>
      </c>
      <c r="C95" t="s">
        <v>1455</v>
      </c>
      <c r="D95">
        <v>0</v>
      </c>
      <c r="E95">
        <v>16.149999999999899</v>
      </c>
      <c r="F95">
        <v>-16.1999999999999</v>
      </c>
      <c r="G95">
        <v>1400</v>
      </c>
      <c r="H95" t="s">
        <v>1456</v>
      </c>
      <c r="I95" t="s">
        <v>104</v>
      </c>
    </row>
    <row r="96" spans="1:9" x14ac:dyDescent="0.3">
      <c r="A96">
        <v>6843</v>
      </c>
      <c r="B96" t="s">
        <v>1457</v>
      </c>
      <c r="C96" t="s">
        <v>1457</v>
      </c>
      <c r="D96">
        <v>0</v>
      </c>
      <c r="E96">
        <v>16.4833333332999</v>
      </c>
      <c r="F96">
        <v>-15.766666666700001</v>
      </c>
      <c r="G96">
        <v>80</v>
      </c>
      <c r="H96" t="s">
        <v>1456</v>
      </c>
      <c r="I96" t="s">
        <v>104</v>
      </c>
    </row>
    <row r="97" spans="1:9" x14ac:dyDescent="0.3">
      <c r="A97">
        <v>6844</v>
      </c>
      <c r="B97" t="s">
        <v>1458</v>
      </c>
      <c r="C97" t="s">
        <v>1458</v>
      </c>
      <c r="D97">
        <v>0</v>
      </c>
      <c r="E97">
        <v>15.9833333332999</v>
      </c>
      <c r="F97">
        <v>-16.4666666667</v>
      </c>
      <c r="G97">
        <v>15</v>
      </c>
      <c r="H97" t="s">
        <v>1456</v>
      </c>
      <c r="I97" t="s">
        <v>104</v>
      </c>
    </row>
    <row r="98" spans="1:9" x14ac:dyDescent="0.3">
      <c r="A98">
        <v>6848</v>
      </c>
      <c r="B98" t="s">
        <v>1459</v>
      </c>
      <c r="C98" t="s">
        <v>1459</v>
      </c>
      <c r="D98">
        <v>0</v>
      </c>
      <c r="E98">
        <v>15.1333333333</v>
      </c>
      <c r="F98">
        <v>-16.9166666666999</v>
      </c>
      <c r="G98">
        <v>40</v>
      </c>
      <c r="H98" t="s">
        <v>1456</v>
      </c>
      <c r="I98" t="s">
        <v>104</v>
      </c>
    </row>
    <row r="99" spans="1:9" x14ac:dyDescent="0.3">
      <c r="A99">
        <v>6891</v>
      </c>
      <c r="B99" t="s">
        <v>1460</v>
      </c>
      <c r="C99" t="s">
        <v>1460</v>
      </c>
      <c r="D99">
        <v>0</v>
      </c>
      <c r="E99">
        <v>15.516666666700001</v>
      </c>
      <c r="F99">
        <v>19.6666666666999</v>
      </c>
      <c r="G99">
        <v>77950</v>
      </c>
      <c r="H99" t="s">
        <v>1461</v>
      </c>
      <c r="I99" t="s">
        <v>174</v>
      </c>
    </row>
    <row r="100" spans="1:9" x14ac:dyDescent="0.3">
      <c r="A100">
        <v>6915</v>
      </c>
      <c r="B100" t="s">
        <v>1462</v>
      </c>
      <c r="C100" t="s">
        <v>1462</v>
      </c>
      <c r="D100">
        <v>0</v>
      </c>
      <c r="E100">
        <v>10.1333333333</v>
      </c>
      <c r="F100">
        <v>0.68333333333299995</v>
      </c>
      <c r="G100">
        <v>1636.4</v>
      </c>
      <c r="H100" t="s">
        <v>1463</v>
      </c>
      <c r="I100" t="s">
        <v>226</v>
      </c>
    </row>
    <row r="101" spans="1:9" x14ac:dyDescent="0.3">
      <c r="A101">
        <v>6916</v>
      </c>
      <c r="B101" t="s">
        <v>1464</v>
      </c>
      <c r="C101" t="s">
        <v>1464</v>
      </c>
      <c r="D101">
        <v>0</v>
      </c>
      <c r="E101">
        <v>8.7361540242700002</v>
      </c>
      <c r="F101">
        <v>0.80641061297000005</v>
      </c>
      <c r="G101">
        <v>1920</v>
      </c>
      <c r="H101" t="s">
        <v>1463</v>
      </c>
      <c r="I101" t="s">
        <v>226</v>
      </c>
    </row>
    <row r="102" spans="1:9" x14ac:dyDescent="0.3">
      <c r="A102">
        <v>6927</v>
      </c>
      <c r="B102" t="s">
        <v>136</v>
      </c>
      <c r="C102" t="s">
        <v>136</v>
      </c>
      <c r="D102">
        <v>0</v>
      </c>
      <c r="E102">
        <v>36.759</v>
      </c>
      <c r="F102">
        <v>10.151</v>
      </c>
      <c r="G102">
        <v>27</v>
      </c>
      <c r="H102" t="s">
        <v>1465</v>
      </c>
      <c r="I102" t="s">
        <v>133</v>
      </c>
    </row>
    <row r="103" spans="1:9" x14ac:dyDescent="0.3">
      <c r="A103">
        <v>6965</v>
      </c>
      <c r="B103" t="s">
        <v>845</v>
      </c>
      <c r="C103" t="s">
        <v>845</v>
      </c>
      <c r="D103">
        <v>0</v>
      </c>
      <c r="E103">
        <v>-6.75</v>
      </c>
      <c r="F103">
        <v>31.833333333300001</v>
      </c>
      <c r="G103">
        <v>3230</v>
      </c>
      <c r="H103" t="s">
        <v>1466</v>
      </c>
      <c r="I103" t="s">
        <v>617</v>
      </c>
    </row>
    <row r="104" spans="1:9" x14ac:dyDescent="0.3">
      <c r="A104">
        <v>6969</v>
      </c>
      <c r="B104" t="s">
        <v>849</v>
      </c>
      <c r="C104" t="s">
        <v>849</v>
      </c>
      <c r="D104">
        <v>0</v>
      </c>
      <c r="E104">
        <v>-7.1666666666700003</v>
      </c>
      <c r="F104">
        <v>37.166666666700003</v>
      </c>
      <c r="G104">
        <v>3230</v>
      </c>
      <c r="H104" t="s">
        <v>1466</v>
      </c>
      <c r="I104" t="s">
        <v>617</v>
      </c>
    </row>
    <row r="105" spans="1:9" x14ac:dyDescent="0.3">
      <c r="A105">
        <v>6977</v>
      </c>
      <c r="B105" t="s">
        <v>1467</v>
      </c>
      <c r="C105" t="s">
        <v>1467</v>
      </c>
      <c r="D105">
        <v>0</v>
      </c>
      <c r="E105">
        <v>-2.25</v>
      </c>
      <c r="F105">
        <v>31.25</v>
      </c>
      <c r="G105">
        <v>3500</v>
      </c>
      <c r="H105" t="s">
        <v>1466</v>
      </c>
      <c r="I105" t="s">
        <v>617</v>
      </c>
    </row>
    <row r="106" spans="1:9" x14ac:dyDescent="0.3">
      <c r="A106">
        <v>6981</v>
      </c>
      <c r="B106" t="s">
        <v>898</v>
      </c>
      <c r="C106" t="s">
        <v>898</v>
      </c>
      <c r="D106">
        <v>0</v>
      </c>
      <c r="E106">
        <v>-9.5</v>
      </c>
      <c r="F106">
        <v>38.25</v>
      </c>
      <c r="G106">
        <v>50000</v>
      </c>
      <c r="H106" t="s">
        <v>1466</v>
      </c>
      <c r="I106" t="s">
        <v>617</v>
      </c>
    </row>
    <row r="107" spans="1:9" x14ac:dyDescent="0.3">
      <c r="A107">
        <v>6983</v>
      </c>
      <c r="B107" t="s">
        <v>1468</v>
      </c>
      <c r="C107" t="s">
        <v>1468</v>
      </c>
      <c r="D107">
        <v>0</v>
      </c>
      <c r="E107">
        <v>-3.8333333333300001</v>
      </c>
      <c r="F107">
        <v>35.833333333299898</v>
      </c>
      <c r="G107">
        <v>40</v>
      </c>
      <c r="H107" t="s">
        <v>1466</v>
      </c>
      <c r="I107" t="s">
        <v>617</v>
      </c>
    </row>
    <row r="108" spans="1:9" x14ac:dyDescent="0.3">
      <c r="A108">
        <v>6984</v>
      </c>
      <c r="B108" t="s">
        <v>1469</v>
      </c>
      <c r="C108" t="s">
        <v>1469</v>
      </c>
      <c r="D108">
        <v>0</v>
      </c>
      <c r="E108">
        <v>-6.8333333333299997</v>
      </c>
      <c r="F108">
        <v>39.316666666700002</v>
      </c>
      <c r="G108">
        <v>610</v>
      </c>
      <c r="H108" t="s">
        <v>1466</v>
      </c>
      <c r="I108" t="s">
        <v>617</v>
      </c>
    </row>
    <row r="109" spans="1:9" x14ac:dyDescent="0.3">
      <c r="A109">
        <v>6988</v>
      </c>
      <c r="B109" t="s">
        <v>1470</v>
      </c>
      <c r="C109" t="s">
        <v>1470</v>
      </c>
      <c r="D109">
        <v>0</v>
      </c>
      <c r="E109">
        <v>-8.5</v>
      </c>
      <c r="F109">
        <v>36.333333333299898</v>
      </c>
      <c r="G109">
        <v>4000</v>
      </c>
      <c r="H109" t="s">
        <v>1466</v>
      </c>
      <c r="I109" t="s">
        <v>617</v>
      </c>
    </row>
    <row r="110" spans="1:9" x14ac:dyDescent="0.3">
      <c r="A110">
        <v>6992</v>
      </c>
      <c r="B110" t="s">
        <v>1471</v>
      </c>
      <c r="C110" t="s">
        <v>1471</v>
      </c>
      <c r="D110">
        <v>0</v>
      </c>
      <c r="E110">
        <v>-7.0833333333299997</v>
      </c>
      <c r="F110">
        <v>35.833333333299898</v>
      </c>
      <c r="G110">
        <v>660</v>
      </c>
      <c r="H110" t="s">
        <v>1466</v>
      </c>
      <c r="I110" t="s">
        <v>617</v>
      </c>
    </row>
    <row r="111" spans="1:9" x14ac:dyDescent="0.3">
      <c r="A111">
        <v>6993</v>
      </c>
      <c r="B111" t="s">
        <v>1472</v>
      </c>
      <c r="C111" t="s">
        <v>1472</v>
      </c>
      <c r="D111">
        <v>0</v>
      </c>
      <c r="E111">
        <v>-3.6666666666699999</v>
      </c>
      <c r="F111">
        <v>37.333333333299898</v>
      </c>
      <c r="G111">
        <v>220</v>
      </c>
      <c r="H111" t="s">
        <v>1466</v>
      </c>
      <c r="I111" t="s">
        <v>617</v>
      </c>
    </row>
    <row r="112" spans="1:9" x14ac:dyDescent="0.3">
      <c r="A112">
        <v>6997</v>
      </c>
      <c r="B112" t="s">
        <v>1473</v>
      </c>
      <c r="C112" t="s">
        <v>1473</v>
      </c>
      <c r="D112">
        <v>0</v>
      </c>
      <c r="E112">
        <v>-4.3</v>
      </c>
      <c r="F112">
        <v>34.700000000000003</v>
      </c>
      <c r="G112">
        <v>11</v>
      </c>
      <c r="H112" t="s">
        <v>1466</v>
      </c>
      <c r="I112" t="s">
        <v>617</v>
      </c>
    </row>
    <row r="113" spans="1:9" x14ac:dyDescent="0.3">
      <c r="A113">
        <v>7003</v>
      </c>
      <c r="B113" t="s">
        <v>1474</v>
      </c>
      <c r="C113" t="s">
        <v>1474</v>
      </c>
      <c r="D113">
        <v>0</v>
      </c>
      <c r="E113">
        <v>-2.5</v>
      </c>
      <c r="F113">
        <v>32.833333333299898</v>
      </c>
      <c r="G113">
        <v>250</v>
      </c>
      <c r="H113" t="s">
        <v>1466</v>
      </c>
      <c r="I113" t="s">
        <v>617</v>
      </c>
    </row>
    <row r="114" spans="1:9" x14ac:dyDescent="0.3">
      <c r="A114">
        <v>7006</v>
      </c>
      <c r="B114" t="s">
        <v>1475</v>
      </c>
      <c r="C114" t="s">
        <v>1475</v>
      </c>
      <c r="D114">
        <v>0</v>
      </c>
      <c r="E114">
        <v>-4.5</v>
      </c>
      <c r="F114">
        <v>34</v>
      </c>
      <c r="G114">
        <v>1600</v>
      </c>
      <c r="H114" t="s">
        <v>1466</v>
      </c>
      <c r="I114" t="s">
        <v>617</v>
      </c>
    </row>
    <row r="115" spans="1:9" x14ac:dyDescent="0.3">
      <c r="A115">
        <v>7009</v>
      </c>
      <c r="B115" t="s">
        <v>1476</v>
      </c>
      <c r="C115" t="s">
        <v>1476</v>
      </c>
      <c r="D115">
        <v>0</v>
      </c>
      <c r="E115">
        <v>-6.1666666666700003</v>
      </c>
      <c r="F115">
        <v>38.666666666700003</v>
      </c>
      <c r="G115">
        <v>200</v>
      </c>
      <c r="H115" t="s">
        <v>1466</v>
      </c>
      <c r="I115" t="s">
        <v>617</v>
      </c>
    </row>
    <row r="116" spans="1:9" x14ac:dyDescent="0.3">
      <c r="A116">
        <v>7010</v>
      </c>
      <c r="B116" t="s">
        <v>1477</v>
      </c>
      <c r="C116" t="s">
        <v>1477</v>
      </c>
      <c r="D116">
        <v>1</v>
      </c>
      <c r="E116">
        <v>-6.952553</v>
      </c>
      <c r="F116">
        <v>38.915294000000003</v>
      </c>
      <c r="G116">
        <v>374.16206350300001</v>
      </c>
      <c r="H116" t="s">
        <v>1466</v>
      </c>
      <c r="I116" t="s">
        <v>617</v>
      </c>
    </row>
    <row r="117" spans="1:9" x14ac:dyDescent="0.3">
      <c r="A117">
        <v>7017</v>
      </c>
      <c r="B117" t="s">
        <v>1478</v>
      </c>
      <c r="C117" t="s">
        <v>1478</v>
      </c>
      <c r="D117">
        <v>0</v>
      </c>
      <c r="E117">
        <v>-5.5</v>
      </c>
      <c r="F117">
        <v>38.5</v>
      </c>
      <c r="G117">
        <v>120</v>
      </c>
      <c r="H117" t="s">
        <v>1466</v>
      </c>
      <c r="I117" t="s">
        <v>617</v>
      </c>
    </row>
    <row r="118" spans="1:9" x14ac:dyDescent="0.3">
      <c r="A118">
        <v>7035</v>
      </c>
      <c r="B118" t="s">
        <v>1479</v>
      </c>
      <c r="C118" t="s">
        <v>1479</v>
      </c>
      <c r="D118">
        <v>0</v>
      </c>
      <c r="E118">
        <v>-7.5333333333299999</v>
      </c>
      <c r="F118">
        <v>36.916666666700003</v>
      </c>
      <c r="G118">
        <v>300</v>
      </c>
      <c r="H118" t="s">
        <v>1466</v>
      </c>
      <c r="I118" t="s">
        <v>617</v>
      </c>
    </row>
    <row r="119" spans="1:9" x14ac:dyDescent="0.3">
      <c r="A119">
        <v>7037</v>
      </c>
      <c r="B119" t="s">
        <v>1480</v>
      </c>
      <c r="C119" t="s">
        <v>1480</v>
      </c>
      <c r="D119">
        <v>0</v>
      </c>
      <c r="E119">
        <v>-2.8333333333300001</v>
      </c>
      <c r="F119">
        <v>36.833333333299898</v>
      </c>
      <c r="G119">
        <v>2800</v>
      </c>
      <c r="H119" t="s">
        <v>1466</v>
      </c>
      <c r="I119" t="s">
        <v>617</v>
      </c>
    </row>
    <row r="120" spans="1:9" x14ac:dyDescent="0.3">
      <c r="A120">
        <v>7046</v>
      </c>
      <c r="B120" t="s">
        <v>1481</v>
      </c>
      <c r="C120" t="s">
        <v>1481</v>
      </c>
      <c r="D120">
        <v>0</v>
      </c>
      <c r="E120">
        <v>0.46</v>
      </c>
      <c r="F120">
        <v>30.37</v>
      </c>
      <c r="G120">
        <v>794</v>
      </c>
      <c r="H120" t="s">
        <v>1482</v>
      </c>
      <c r="I120" t="s">
        <v>142</v>
      </c>
    </row>
    <row r="121" spans="1:9" x14ac:dyDescent="0.3">
      <c r="A121">
        <v>7047</v>
      </c>
      <c r="B121" t="s">
        <v>1483</v>
      </c>
      <c r="C121" t="s">
        <v>1483</v>
      </c>
      <c r="D121">
        <v>0</v>
      </c>
      <c r="E121">
        <v>-0.19</v>
      </c>
      <c r="F121">
        <v>29.96</v>
      </c>
      <c r="G121">
        <v>2700</v>
      </c>
      <c r="H121" t="s">
        <v>1482</v>
      </c>
      <c r="I121" t="s">
        <v>142</v>
      </c>
    </row>
    <row r="122" spans="1:9" x14ac:dyDescent="0.3">
      <c r="A122">
        <v>7052</v>
      </c>
      <c r="B122" t="s">
        <v>1484</v>
      </c>
      <c r="C122" t="s">
        <v>1484</v>
      </c>
      <c r="D122">
        <v>0</v>
      </c>
      <c r="E122">
        <v>0.46</v>
      </c>
      <c r="F122">
        <v>33.009999999999899</v>
      </c>
      <c r="G122">
        <v>306</v>
      </c>
      <c r="H122" t="s">
        <v>1482</v>
      </c>
      <c r="I122" t="s">
        <v>142</v>
      </c>
    </row>
    <row r="123" spans="1:9" x14ac:dyDescent="0.3">
      <c r="A123">
        <v>7057</v>
      </c>
      <c r="B123" t="s">
        <v>1485</v>
      </c>
      <c r="C123" t="s">
        <v>1485</v>
      </c>
      <c r="D123">
        <v>0</v>
      </c>
      <c r="E123">
        <v>8.3333333333299994E-2</v>
      </c>
      <c r="F123">
        <v>32.333333333299898</v>
      </c>
      <c r="G123">
        <v>165</v>
      </c>
      <c r="H123" t="s">
        <v>1482</v>
      </c>
      <c r="I123" t="s">
        <v>142</v>
      </c>
    </row>
    <row r="124" spans="1:9" x14ac:dyDescent="0.3">
      <c r="A124">
        <v>7082</v>
      </c>
      <c r="B124" t="s">
        <v>1486</v>
      </c>
      <c r="C124" t="s">
        <v>1486</v>
      </c>
      <c r="D124">
        <v>0</v>
      </c>
      <c r="E124">
        <v>-24.649999999999899</v>
      </c>
      <c r="F124">
        <v>28.6999999999999</v>
      </c>
      <c r="G124">
        <v>160</v>
      </c>
      <c r="H124" t="s">
        <v>1487</v>
      </c>
      <c r="I124" t="s">
        <v>1191</v>
      </c>
    </row>
    <row r="125" spans="1:9" x14ac:dyDescent="0.3">
      <c r="A125">
        <v>7185</v>
      </c>
      <c r="B125" t="s">
        <v>1488</v>
      </c>
      <c r="C125" t="s">
        <v>1488</v>
      </c>
      <c r="D125">
        <v>0</v>
      </c>
      <c r="E125">
        <v>-17.933333333299899</v>
      </c>
      <c r="F125">
        <v>26.066666666700002</v>
      </c>
      <c r="G125">
        <v>86</v>
      </c>
      <c r="H125" t="s">
        <v>1489</v>
      </c>
      <c r="I125" t="s">
        <v>535</v>
      </c>
    </row>
    <row r="126" spans="1:9" x14ac:dyDescent="0.3">
      <c r="A126">
        <v>7193</v>
      </c>
      <c r="B126" t="s">
        <v>1490</v>
      </c>
      <c r="C126" t="s">
        <v>1490</v>
      </c>
      <c r="D126">
        <v>0</v>
      </c>
      <c r="E126">
        <v>-15</v>
      </c>
      <c r="F126">
        <v>28.25</v>
      </c>
      <c r="G126">
        <v>520</v>
      </c>
      <c r="H126" t="s">
        <v>1489</v>
      </c>
      <c r="I126" t="s">
        <v>535</v>
      </c>
    </row>
    <row r="127" spans="1:9" x14ac:dyDescent="0.3">
      <c r="A127">
        <v>7194</v>
      </c>
      <c r="B127" t="s">
        <v>1491</v>
      </c>
      <c r="C127" t="s">
        <v>1491</v>
      </c>
      <c r="D127">
        <v>0</v>
      </c>
      <c r="E127">
        <v>-15.4333333333</v>
      </c>
      <c r="F127">
        <v>29.683333333299899</v>
      </c>
      <c r="G127">
        <v>4400</v>
      </c>
      <c r="H127" t="s">
        <v>1489</v>
      </c>
      <c r="I127" t="s">
        <v>535</v>
      </c>
    </row>
    <row r="128" spans="1:9" x14ac:dyDescent="0.3">
      <c r="A128">
        <v>7216</v>
      </c>
      <c r="B128" t="s">
        <v>1492</v>
      </c>
      <c r="C128" t="s">
        <v>1492</v>
      </c>
      <c r="D128">
        <v>0</v>
      </c>
      <c r="E128">
        <v>-19</v>
      </c>
      <c r="F128">
        <v>26.5</v>
      </c>
      <c r="G128">
        <v>14600</v>
      </c>
      <c r="H128" t="s">
        <v>1493</v>
      </c>
      <c r="I128" t="s">
        <v>840</v>
      </c>
    </row>
    <row r="129" spans="1:9" x14ac:dyDescent="0.3">
      <c r="A129">
        <v>7218</v>
      </c>
      <c r="B129" t="s">
        <v>1494</v>
      </c>
      <c r="C129" t="s">
        <v>1494</v>
      </c>
      <c r="D129">
        <v>0</v>
      </c>
      <c r="E129">
        <v>-17.9833333332999</v>
      </c>
      <c r="F129">
        <v>25.866666666699899</v>
      </c>
      <c r="G129">
        <v>120</v>
      </c>
      <c r="H129" t="s">
        <v>1493</v>
      </c>
      <c r="I129" t="s">
        <v>840</v>
      </c>
    </row>
    <row r="130" spans="1:9" x14ac:dyDescent="0.3">
      <c r="A130">
        <v>7219</v>
      </c>
      <c r="B130" t="s">
        <v>1495</v>
      </c>
      <c r="C130" t="s">
        <v>1495</v>
      </c>
      <c r="D130">
        <v>0</v>
      </c>
      <c r="E130">
        <v>-15.75</v>
      </c>
      <c r="F130">
        <v>29.583333333300001</v>
      </c>
      <c r="G130">
        <v>6825</v>
      </c>
      <c r="H130" t="s">
        <v>1493</v>
      </c>
      <c r="I130" t="s">
        <v>840</v>
      </c>
    </row>
    <row r="131" spans="1:9" x14ac:dyDescent="0.3">
      <c r="A131">
        <v>7224</v>
      </c>
      <c r="B131" t="s">
        <v>1496</v>
      </c>
      <c r="C131" t="s">
        <v>1496</v>
      </c>
      <c r="D131">
        <v>0</v>
      </c>
      <c r="E131">
        <v>-19.383333333300001</v>
      </c>
      <c r="F131">
        <v>30.7833333333</v>
      </c>
      <c r="G131">
        <v>200</v>
      </c>
      <c r="H131" t="s">
        <v>1493</v>
      </c>
      <c r="I131" t="s">
        <v>840</v>
      </c>
    </row>
    <row r="132" spans="1:9" x14ac:dyDescent="0.3">
      <c r="A132">
        <v>22308</v>
      </c>
      <c r="B132" t="s">
        <v>1497</v>
      </c>
      <c r="C132" t="s">
        <v>1497</v>
      </c>
      <c r="D132">
        <v>0</v>
      </c>
      <c r="E132">
        <v>5.9594147138400002</v>
      </c>
      <c r="F132">
        <v>-8.6700178650000002</v>
      </c>
      <c r="G132">
        <v>3200</v>
      </c>
      <c r="H132" t="s">
        <v>1418</v>
      </c>
      <c r="I132" t="s">
        <v>980</v>
      </c>
    </row>
    <row r="133" spans="1:9" x14ac:dyDescent="0.3">
      <c r="A133">
        <v>22309</v>
      </c>
      <c r="B133" t="s">
        <v>1498</v>
      </c>
      <c r="C133" t="s">
        <v>1498</v>
      </c>
      <c r="D133">
        <v>0</v>
      </c>
      <c r="E133">
        <v>5.6360521071700003</v>
      </c>
      <c r="F133">
        <v>-8.5559352924599903</v>
      </c>
      <c r="G133">
        <v>810</v>
      </c>
      <c r="H133" t="s">
        <v>1418</v>
      </c>
      <c r="I133" t="s">
        <v>980</v>
      </c>
    </row>
    <row r="134" spans="1:9" x14ac:dyDescent="0.3">
      <c r="A134">
        <v>22310</v>
      </c>
      <c r="B134" t="s">
        <v>1499</v>
      </c>
      <c r="C134" t="s">
        <v>1499</v>
      </c>
      <c r="D134">
        <v>0</v>
      </c>
      <c r="E134">
        <v>5.3042972860899997</v>
      </c>
      <c r="F134">
        <v>-8.9828187884100004</v>
      </c>
      <c r="G134">
        <v>320</v>
      </c>
      <c r="H134" t="s">
        <v>1418</v>
      </c>
      <c r="I134" t="s">
        <v>980</v>
      </c>
    </row>
    <row r="135" spans="1:9" x14ac:dyDescent="0.3">
      <c r="A135">
        <v>22320</v>
      </c>
      <c r="B135" t="s">
        <v>1500</v>
      </c>
      <c r="C135" t="s">
        <v>1500</v>
      </c>
      <c r="D135">
        <v>0</v>
      </c>
      <c r="E135">
        <v>5.64</v>
      </c>
      <c r="F135">
        <v>-8.0299999999999905</v>
      </c>
      <c r="G135">
        <v>2000</v>
      </c>
      <c r="H135" t="s">
        <v>1418</v>
      </c>
      <c r="I135" t="s">
        <v>980</v>
      </c>
    </row>
    <row r="136" spans="1:9" x14ac:dyDescent="0.3">
      <c r="A136">
        <v>22374</v>
      </c>
      <c r="B136" t="s">
        <v>1501</v>
      </c>
      <c r="C136" t="s">
        <v>1501</v>
      </c>
      <c r="D136">
        <v>0</v>
      </c>
      <c r="E136">
        <v>-1.6666666666700001</v>
      </c>
      <c r="F136">
        <v>41.166666666700003</v>
      </c>
      <c r="G136">
        <v>1000</v>
      </c>
      <c r="H136" t="s">
        <v>1405</v>
      </c>
      <c r="I136" t="s">
        <v>87</v>
      </c>
    </row>
    <row r="137" spans="1:9" x14ac:dyDescent="0.3">
      <c r="A137">
        <v>22378</v>
      </c>
      <c r="B137" t="s">
        <v>1502</v>
      </c>
      <c r="C137" t="s">
        <v>1502</v>
      </c>
      <c r="D137">
        <v>0</v>
      </c>
      <c r="E137">
        <v>-4</v>
      </c>
      <c r="F137">
        <v>39.5333333333</v>
      </c>
      <c r="G137">
        <v>3.81</v>
      </c>
      <c r="H137" t="s">
        <v>1405</v>
      </c>
      <c r="I137" t="s">
        <v>87</v>
      </c>
    </row>
    <row r="138" spans="1:9" x14ac:dyDescent="0.3">
      <c r="A138">
        <v>22381</v>
      </c>
      <c r="B138" t="s">
        <v>1503</v>
      </c>
      <c r="C138" t="s">
        <v>1503</v>
      </c>
      <c r="D138">
        <v>0</v>
      </c>
      <c r="E138">
        <v>-2.36666666667</v>
      </c>
      <c r="F138">
        <v>40.5</v>
      </c>
      <c r="G138">
        <v>0.4</v>
      </c>
      <c r="H138" t="s">
        <v>1405</v>
      </c>
      <c r="I138" t="s">
        <v>87</v>
      </c>
    </row>
    <row r="139" spans="1:9" x14ac:dyDescent="0.3">
      <c r="A139">
        <v>22383</v>
      </c>
      <c r="B139" t="s">
        <v>1504</v>
      </c>
      <c r="C139" t="s">
        <v>1504</v>
      </c>
      <c r="D139">
        <v>0</v>
      </c>
      <c r="E139">
        <v>-6.4666666666700001</v>
      </c>
      <c r="F139">
        <v>38.733333333300003</v>
      </c>
      <c r="G139">
        <v>16.02</v>
      </c>
      <c r="H139" t="s">
        <v>1466</v>
      </c>
      <c r="I139" t="s">
        <v>617</v>
      </c>
    </row>
    <row r="140" spans="1:9" x14ac:dyDescent="0.3">
      <c r="A140">
        <v>22390</v>
      </c>
      <c r="B140" t="s">
        <v>1505</v>
      </c>
      <c r="C140" t="s">
        <v>1505</v>
      </c>
      <c r="D140">
        <v>0</v>
      </c>
      <c r="E140">
        <v>-10</v>
      </c>
      <c r="F140">
        <v>39</v>
      </c>
      <c r="G140">
        <v>37</v>
      </c>
      <c r="H140" t="s">
        <v>1466</v>
      </c>
      <c r="I140" t="s">
        <v>617</v>
      </c>
    </row>
    <row r="141" spans="1:9" x14ac:dyDescent="0.3">
      <c r="A141">
        <v>22510</v>
      </c>
      <c r="B141" t="s">
        <v>1506</v>
      </c>
      <c r="C141" t="s">
        <v>1506</v>
      </c>
      <c r="D141">
        <v>1</v>
      </c>
      <c r="E141">
        <v>-8.0311229999999902</v>
      </c>
      <c r="F141">
        <v>36.206622000000003</v>
      </c>
      <c r="G141">
        <v>5421.0234689999897</v>
      </c>
      <c r="H141" t="s">
        <v>1466</v>
      </c>
      <c r="I141" t="s">
        <v>617</v>
      </c>
    </row>
    <row r="142" spans="1:9" x14ac:dyDescent="0.3">
      <c r="A142">
        <v>23547</v>
      </c>
      <c r="B142" t="s">
        <v>1507</v>
      </c>
      <c r="C142" t="s">
        <v>1507</v>
      </c>
      <c r="D142">
        <v>1</v>
      </c>
      <c r="E142">
        <v>-0.27</v>
      </c>
      <c r="F142">
        <v>30.239999999999899</v>
      </c>
      <c r="G142">
        <v>400</v>
      </c>
      <c r="H142" t="s">
        <v>1482</v>
      </c>
      <c r="I142" t="s">
        <v>142</v>
      </c>
    </row>
    <row r="143" spans="1:9" x14ac:dyDescent="0.3">
      <c r="A143">
        <v>24235</v>
      </c>
      <c r="B143" t="s">
        <v>1508</v>
      </c>
      <c r="C143" t="s">
        <v>1508</v>
      </c>
      <c r="D143">
        <v>0</v>
      </c>
      <c r="E143">
        <v>-17.366666666699899</v>
      </c>
      <c r="F143">
        <v>24.5</v>
      </c>
      <c r="G143">
        <v>1000</v>
      </c>
      <c r="H143" t="s">
        <v>1489</v>
      </c>
      <c r="I143" t="s">
        <v>535</v>
      </c>
    </row>
    <row r="144" spans="1:9" x14ac:dyDescent="0.3">
      <c r="A144">
        <v>24502</v>
      </c>
      <c r="B144" t="s">
        <v>1509</v>
      </c>
      <c r="C144" t="s">
        <v>1509</v>
      </c>
      <c r="D144">
        <v>0</v>
      </c>
      <c r="E144">
        <v>1.26</v>
      </c>
      <c r="F144">
        <v>30.969999999999899</v>
      </c>
      <c r="G144">
        <v>395</v>
      </c>
      <c r="H144" t="s">
        <v>1482</v>
      </c>
      <c r="I144" t="s">
        <v>142</v>
      </c>
    </row>
    <row r="145" spans="1:9" x14ac:dyDescent="0.3">
      <c r="A145">
        <v>24855</v>
      </c>
      <c r="B145" t="s">
        <v>1510</v>
      </c>
      <c r="C145" t="s">
        <v>1510</v>
      </c>
      <c r="D145">
        <v>1</v>
      </c>
      <c r="E145">
        <v>5.33319947766</v>
      </c>
      <c r="F145">
        <v>-4.1327222131600001</v>
      </c>
      <c r="G145">
        <v>19</v>
      </c>
      <c r="H145" t="s">
        <v>1367</v>
      </c>
      <c r="I145" t="s">
        <v>486</v>
      </c>
    </row>
    <row r="146" spans="1:9" x14ac:dyDescent="0.3">
      <c r="A146">
        <v>28592</v>
      </c>
      <c r="B146" t="s">
        <v>1511</v>
      </c>
      <c r="C146" t="s">
        <v>1511</v>
      </c>
      <c r="D146">
        <v>0</v>
      </c>
      <c r="E146">
        <v>9.1820000000000004</v>
      </c>
      <c r="F146">
        <v>40.439999999999898</v>
      </c>
      <c r="G146">
        <v>1500</v>
      </c>
      <c r="H146" t="s">
        <v>1379</v>
      </c>
      <c r="I146" t="s">
        <v>370</v>
      </c>
    </row>
    <row r="147" spans="1:9" x14ac:dyDescent="0.3">
      <c r="A147">
        <v>28602</v>
      </c>
      <c r="B147" t="s">
        <v>1512</v>
      </c>
      <c r="C147" t="s">
        <v>1512</v>
      </c>
      <c r="D147">
        <v>0</v>
      </c>
      <c r="E147">
        <v>11.709</v>
      </c>
      <c r="F147">
        <v>38.223999999999897</v>
      </c>
      <c r="G147">
        <v>200</v>
      </c>
      <c r="H147" t="s">
        <v>1379</v>
      </c>
      <c r="I147" t="s">
        <v>370</v>
      </c>
    </row>
    <row r="148" spans="1:9" x14ac:dyDescent="0.3">
      <c r="A148">
        <v>28608</v>
      </c>
      <c r="B148" t="s">
        <v>1513</v>
      </c>
      <c r="C148" t="s">
        <v>1513</v>
      </c>
      <c r="D148">
        <v>0</v>
      </c>
      <c r="E148">
        <v>-1.754</v>
      </c>
      <c r="F148">
        <v>29.425999999999899</v>
      </c>
      <c r="G148">
        <v>270</v>
      </c>
      <c r="H148" t="s">
        <v>1514</v>
      </c>
      <c r="I148" t="s">
        <v>613</v>
      </c>
    </row>
    <row r="149" spans="1:9" x14ac:dyDescent="0.3">
      <c r="A149">
        <v>28625</v>
      </c>
      <c r="B149" t="s">
        <v>1515</v>
      </c>
      <c r="C149" t="s">
        <v>1515</v>
      </c>
      <c r="D149">
        <v>0</v>
      </c>
      <c r="E149">
        <v>0.53733333333300004</v>
      </c>
      <c r="F149">
        <v>33.882166666700002</v>
      </c>
      <c r="G149">
        <v>43.5</v>
      </c>
      <c r="H149" t="s">
        <v>1482</v>
      </c>
      <c r="I149" t="s">
        <v>142</v>
      </c>
    </row>
    <row r="150" spans="1:9" x14ac:dyDescent="0.3">
      <c r="A150">
        <v>28627</v>
      </c>
      <c r="B150" t="s">
        <v>1516</v>
      </c>
      <c r="C150" t="s">
        <v>1516</v>
      </c>
      <c r="D150">
        <v>0</v>
      </c>
      <c r="E150">
        <v>0.56799999999999995</v>
      </c>
      <c r="F150">
        <v>30.837</v>
      </c>
      <c r="G150">
        <v>130</v>
      </c>
      <c r="H150" t="s">
        <v>1482</v>
      </c>
      <c r="I150" t="s">
        <v>142</v>
      </c>
    </row>
    <row r="151" spans="1:9" x14ac:dyDescent="0.3">
      <c r="A151">
        <v>28644</v>
      </c>
      <c r="B151" t="s">
        <v>398</v>
      </c>
      <c r="C151" t="s">
        <v>398</v>
      </c>
      <c r="D151">
        <v>0</v>
      </c>
      <c r="E151">
        <v>9</v>
      </c>
      <c r="F151">
        <v>42.429000000000002</v>
      </c>
      <c r="G151">
        <v>14000</v>
      </c>
      <c r="H151" t="s">
        <v>1379</v>
      </c>
      <c r="I151" t="s">
        <v>370</v>
      </c>
    </row>
    <row r="152" spans="1:9" x14ac:dyDescent="0.3">
      <c r="A152">
        <v>28703</v>
      </c>
      <c r="B152" t="s">
        <v>209</v>
      </c>
      <c r="C152" t="s">
        <v>209</v>
      </c>
      <c r="D152">
        <v>0</v>
      </c>
      <c r="E152">
        <v>2.2709999999999999</v>
      </c>
      <c r="F152">
        <v>38.051000000000002</v>
      </c>
      <c r="G152">
        <v>700</v>
      </c>
      <c r="H152" t="s">
        <v>1405</v>
      </c>
      <c r="I152" t="s">
        <v>87</v>
      </c>
    </row>
    <row r="153" spans="1:9" x14ac:dyDescent="0.3">
      <c r="A153">
        <v>28706</v>
      </c>
      <c r="B153" t="s">
        <v>1517</v>
      </c>
      <c r="C153" t="s">
        <v>1517</v>
      </c>
      <c r="D153">
        <v>0</v>
      </c>
      <c r="E153">
        <v>1.157</v>
      </c>
      <c r="F153">
        <v>37.348999999999897</v>
      </c>
      <c r="G153">
        <v>2000</v>
      </c>
      <c r="H153" t="s">
        <v>1405</v>
      </c>
      <c r="I153" t="s">
        <v>87</v>
      </c>
    </row>
    <row r="154" spans="1:9" x14ac:dyDescent="0.3">
      <c r="A154">
        <v>28719</v>
      </c>
      <c r="B154" t="s">
        <v>1518</v>
      </c>
      <c r="C154" t="s">
        <v>1518</v>
      </c>
      <c r="D154">
        <v>0</v>
      </c>
      <c r="E154">
        <v>8.9600000000000009</v>
      </c>
      <c r="F154">
        <v>40.951000000000001</v>
      </c>
      <c r="G154">
        <v>900</v>
      </c>
      <c r="H154" t="s">
        <v>1379</v>
      </c>
      <c r="I154" t="s">
        <v>370</v>
      </c>
    </row>
    <row r="155" spans="1:9" x14ac:dyDescent="0.3">
      <c r="A155">
        <v>28728</v>
      </c>
      <c r="B155" t="s">
        <v>1519</v>
      </c>
      <c r="C155" t="s">
        <v>1519</v>
      </c>
      <c r="D155">
        <v>0</v>
      </c>
      <c r="E155">
        <v>4.0949999999999998</v>
      </c>
      <c r="F155">
        <v>38.155000000000001</v>
      </c>
      <c r="G155">
        <v>1600</v>
      </c>
      <c r="H155" t="s">
        <v>1379</v>
      </c>
      <c r="I155" t="s">
        <v>370</v>
      </c>
    </row>
    <row r="156" spans="1:9" x14ac:dyDescent="0.3">
      <c r="A156">
        <v>29259</v>
      </c>
      <c r="B156" t="s">
        <v>1520</v>
      </c>
      <c r="C156" t="s">
        <v>1520</v>
      </c>
      <c r="D156">
        <v>0</v>
      </c>
      <c r="E156">
        <v>34.487220999999899</v>
      </c>
      <c r="F156">
        <v>10.43037</v>
      </c>
      <c r="G156">
        <v>6.6</v>
      </c>
      <c r="H156" t="s">
        <v>1465</v>
      </c>
      <c r="I156" t="s">
        <v>133</v>
      </c>
    </row>
    <row r="157" spans="1:9" x14ac:dyDescent="0.3">
      <c r="A157">
        <v>29320</v>
      </c>
      <c r="B157" t="s">
        <v>1521</v>
      </c>
      <c r="C157" t="s">
        <v>1521</v>
      </c>
      <c r="D157">
        <v>0</v>
      </c>
      <c r="E157">
        <v>31.6998</v>
      </c>
      <c r="F157">
        <v>15.355700000000001</v>
      </c>
      <c r="G157">
        <v>1100</v>
      </c>
      <c r="H157" t="s">
        <v>1420</v>
      </c>
      <c r="I157" t="s">
        <v>1421</v>
      </c>
    </row>
    <row r="158" spans="1:9" x14ac:dyDescent="0.3">
      <c r="A158">
        <v>29368</v>
      </c>
      <c r="B158" t="s">
        <v>1522</v>
      </c>
      <c r="C158" t="s">
        <v>1522</v>
      </c>
      <c r="D158">
        <v>0</v>
      </c>
      <c r="E158">
        <v>-14.279</v>
      </c>
      <c r="F158">
        <v>34.238</v>
      </c>
      <c r="G158">
        <v>190</v>
      </c>
      <c r="H158" t="s">
        <v>1436</v>
      </c>
      <c r="I158" t="s">
        <v>888</v>
      </c>
    </row>
    <row r="159" spans="1:9" x14ac:dyDescent="0.3">
      <c r="A159">
        <v>29369</v>
      </c>
      <c r="B159" t="s">
        <v>1523</v>
      </c>
      <c r="C159" t="s">
        <v>1523</v>
      </c>
      <c r="D159">
        <v>0</v>
      </c>
      <c r="E159">
        <v>-0.41</v>
      </c>
      <c r="F159">
        <v>30.059999999999899</v>
      </c>
      <c r="G159">
        <v>140</v>
      </c>
      <c r="H159" t="s">
        <v>1482</v>
      </c>
      <c r="I159" t="s">
        <v>142</v>
      </c>
    </row>
    <row r="160" spans="1:9" x14ac:dyDescent="0.3">
      <c r="A160">
        <v>29387</v>
      </c>
      <c r="B160" t="s">
        <v>1524</v>
      </c>
      <c r="C160" t="s">
        <v>1524</v>
      </c>
      <c r="D160">
        <v>0</v>
      </c>
      <c r="E160">
        <v>11.611000000000001</v>
      </c>
      <c r="F160">
        <v>38.9119999999999</v>
      </c>
      <c r="G160">
        <v>2300</v>
      </c>
      <c r="H160" t="s">
        <v>1379</v>
      </c>
      <c r="I160" t="s">
        <v>370</v>
      </c>
    </row>
    <row r="161" spans="1:9" x14ac:dyDescent="0.3">
      <c r="A161">
        <v>29693</v>
      </c>
      <c r="B161" t="s">
        <v>1525</v>
      </c>
      <c r="C161" t="s">
        <v>1525</v>
      </c>
      <c r="D161">
        <v>1</v>
      </c>
      <c r="E161">
        <v>31.463166666700001</v>
      </c>
      <c r="F161">
        <v>-9.6878333333299995</v>
      </c>
      <c r="G161">
        <v>210</v>
      </c>
      <c r="H161" t="s">
        <v>1425</v>
      </c>
      <c r="I161" t="s">
        <v>412</v>
      </c>
    </row>
    <row r="162" spans="1:9" x14ac:dyDescent="0.3">
      <c r="A162">
        <v>29891</v>
      </c>
      <c r="B162" t="s">
        <v>741</v>
      </c>
      <c r="C162" t="s">
        <v>741</v>
      </c>
      <c r="D162">
        <v>0</v>
      </c>
      <c r="E162">
        <v>-7.7220000000000004</v>
      </c>
      <c r="F162">
        <v>35.729999999999897</v>
      </c>
      <c r="G162">
        <v>5.9</v>
      </c>
      <c r="H162" t="s">
        <v>1466</v>
      </c>
      <c r="I162" t="s">
        <v>617</v>
      </c>
    </row>
    <row r="163" spans="1:9" x14ac:dyDescent="0.3">
      <c r="A163">
        <v>31674</v>
      </c>
      <c r="B163" t="s">
        <v>694</v>
      </c>
      <c r="C163" t="s">
        <v>694</v>
      </c>
      <c r="D163">
        <v>0</v>
      </c>
      <c r="E163">
        <v>36.416166666700001</v>
      </c>
      <c r="F163">
        <v>2.9438333333300002</v>
      </c>
      <c r="G163">
        <v>440</v>
      </c>
      <c r="H163" t="s">
        <v>1375</v>
      </c>
      <c r="I163" t="s">
        <v>182</v>
      </c>
    </row>
    <row r="164" spans="1:9" x14ac:dyDescent="0.3">
      <c r="A164">
        <v>31677</v>
      </c>
      <c r="B164" t="s">
        <v>1526</v>
      </c>
      <c r="C164" t="s">
        <v>1526</v>
      </c>
      <c r="D164">
        <v>0</v>
      </c>
      <c r="E164">
        <v>36.427999999999898</v>
      </c>
      <c r="F164">
        <v>6.7969999999999997</v>
      </c>
      <c r="G164">
        <v>470</v>
      </c>
      <c r="H164" t="s">
        <v>1375</v>
      </c>
      <c r="I164" t="s">
        <v>182</v>
      </c>
    </row>
    <row r="165" spans="1:9" x14ac:dyDescent="0.3">
      <c r="A165">
        <v>31679</v>
      </c>
      <c r="B165" t="s">
        <v>1527</v>
      </c>
      <c r="C165" t="s">
        <v>1527</v>
      </c>
      <c r="D165">
        <v>0</v>
      </c>
      <c r="E165">
        <v>32.036200000000001</v>
      </c>
      <c r="F165">
        <v>21.357199999999899</v>
      </c>
      <c r="G165">
        <v>8200</v>
      </c>
      <c r="H165" t="s">
        <v>1420</v>
      </c>
      <c r="I165" t="s">
        <v>1421</v>
      </c>
    </row>
    <row r="166" spans="1:9" x14ac:dyDescent="0.3">
      <c r="A166">
        <v>31751</v>
      </c>
      <c r="B166" t="s">
        <v>1528</v>
      </c>
      <c r="C166" t="s">
        <v>1528</v>
      </c>
      <c r="D166">
        <v>0</v>
      </c>
      <c r="E166">
        <v>36.696833333299899</v>
      </c>
      <c r="F166">
        <v>8.2193333333300007</v>
      </c>
      <c r="G166">
        <v>800</v>
      </c>
      <c r="H166" t="s">
        <v>1375</v>
      </c>
      <c r="I166" t="s">
        <v>182</v>
      </c>
    </row>
    <row r="167" spans="1:9" x14ac:dyDescent="0.3">
      <c r="A167">
        <v>31799</v>
      </c>
      <c r="B167" t="s">
        <v>1529</v>
      </c>
      <c r="C167" t="s">
        <v>1529</v>
      </c>
      <c r="D167">
        <v>0</v>
      </c>
      <c r="E167">
        <v>31.3456784336</v>
      </c>
      <c r="F167">
        <v>-9.6792409176599996</v>
      </c>
      <c r="G167">
        <v>69</v>
      </c>
      <c r="H167" t="s">
        <v>1425</v>
      </c>
      <c r="I167" t="s">
        <v>412</v>
      </c>
    </row>
    <row r="168" spans="1:9" x14ac:dyDescent="0.3">
      <c r="A168">
        <v>31805</v>
      </c>
      <c r="B168" t="s">
        <v>70</v>
      </c>
      <c r="C168" t="s">
        <v>70</v>
      </c>
      <c r="D168">
        <v>0</v>
      </c>
      <c r="E168">
        <v>30.760400000000001</v>
      </c>
      <c r="F168">
        <v>29.147500000000001</v>
      </c>
      <c r="G168">
        <v>690.1</v>
      </c>
      <c r="H168" t="s">
        <v>1530</v>
      </c>
      <c r="I168" t="s">
        <v>44</v>
      </c>
    </row>
    <row r="169" spans="1:9" x14ac:dyDescent="0.3">
      <c r="A169">
        <v>31807</v>
      </c>
      <c r="B169" t="s">
        <v>1531</v>
      </c>
      <c r="C169" t="s">
        <v>1531</v>
      </c>
      <c r="D169">
        <v>0</v>
      </c>
      <c r="E169">
        <v>33.110384995099899</v>
      </c>
      <c r="F169">
        <v>11.719109572500001</v>
      </c>
      <c r="G169">
        <v>18</v>
      </c>
      <c r="H169" t="s">
        <v>1420</v>
      </c>
      <c r="I169" t="s">
        <v>1421</v>
      </c>
    </row>
    <row r="170" spans="1:9" x14ac:dyDescent="0.3">
      <c r="A170">
        <v>31817</v>
      </c>
      <c r="B170" t="s">
        <v>1532</v>
      </c>
      <c r="C170" t="s">
        <v>1532</v>
      </c>
      <c r="D170">
        <v>0</v>
      </c>
      <c r="E170">
        <v>31.277999999999899</v>
      </c>
      <c r="F170">
        <v>16.291799999999899</v>
      </c>
      <c r="G170">
        <v>880</v>
      </c>
      <c r="H170" t="s">
        <v>1420</v>
      </c>
      <c r="I170" t="s">
        <v>1421</v>
      </c>
    </row>
    <row r="171" spans="1:9" x14ac:dyDescent="0.3">
      <c r="A171">
        <v>31856</v>
      </c>
      <c r="B171" t="s">
        <v>1533</v>
      </c>
      <c r="C171" t="s">
        <v>1533</v>
      </c>
      <c r="D171">
        <v>0</v>
      </c>
      <c r="E171">
        <v>33.9603333332999</v>
      </c>
      <c r="F171">
        <v>-6.4958333333300002</v>
      </c>
      <c r="G171">
        <v>1600</v>
      </c>
      <c r="H171" t="s">
        <v>1425</v>
      </c>
      <c r="I171" t="s">
        <v>412</v>
      </c>
    </row>
    <row r="172" spans="1:9" x14ac:dyDescent="0.3">
      <c r="A172">
        <v>31924</v>
      </c>
      <c r="B172" t="s">
        <v>1534</v>
      </c>
      <c r="C172" t="s">
        <v>1534</v>
      </c>
      <c r="D172">
        <v>0</v>
      </c>
      <c r="E172">
        <v>32.263399999999898</v>
      </c>
      <c r="F172">
        <v>15.1341</v>
      </c>
      <c r="G172">
        <v>1100</v>
      </c>
      <c r="H172" t="s">
        <v>1420</v>
      </c>
      <c r="I172" t="s">
        <v>1421</v>
      </c>
    </row>
    <row r="173" spans="1:9" x14ac:dyDescent="0.3">
      <c r="A173">
        <v>31957</v>
      </c>
      <c r="B173" t="s">
        <v>1535</v>
      </c>
      <c r="C173" t="s">
        <v>1535</v>
      </c>
      <c r="D173">
        <v>0</v>
      </c>
      <c r="E173">
        <v>31.508516101200001</v>
      </c>
      <c r="F173">
        <v>20.068153824300001</v>
      </c>
      <c r="G173">
        <v>880</v>
      </c>
      <c r="H173" t="s">
        <v>1420</v>
      </c>
      <c r="I173" t="s">
        <v>1421</v>
      </c>
    </row>
    <row r="174" spans="1:9" x14ac:dyDescent="0.3">
      <c r="A174">
        <v>45528</v>
      </c>
      <c r="B174" t="s">
        <v>1536</v>
      </c>
      <c r="C174" t="s">
        <v>1536</v>
      </c>
      <c r="D174">
        <v>0</v>
      </c>
      <c r="E174">
        <v>-31.4529999999999</v>
      </c>
      <c r="F174">
        <v>28.57</v>
      </c>
      <c r="G174">
        <v>763.25999999999897</v>
      </c>
      <c r="H174" t="s">
        <v>1487</v>
      </c>
      <c r="I174" t="s">
        <v>1191</v>
      </c>
    </row>
    <row r="175" spans="1:9" x14ac:dyDescent="0.3">
      <c r="A175">
        <v>45561</v>
      </c>
      <c r="B175" t="s">
        <v>1537</v>
      </c>
      <c r="C175" t="s">
        <v>1537</v>
      </c>
      <c r="D175">
        <v>0</v>
      </c>
      <c r="E175">
        <v>-25.7837996688</v>
      </c>
      <c r="F175">
        <v>32.590144619199897</v>
      </c>
      <c r="G175">
        <v>138.78</v>
      </c>
      <c r="H175" t="s">
        <v>1538</v>
      </c>
      <c r="I175" t="s">
        <v>799</v>
      </c>
    </row>
    <row r="176" spans="1:9" x14ac:dyDescent="0.3">
      <c r="A176">
        <v>45657</v>
      </c>
      <c r="B176" t="s">
        <v>1539</v>
      </c>
      <c r="C176" t="s">
        <v>1539</v>
      </c>
      <c r="D176">
        <v>0</v>
      </c>
      <c r="E176">
        <v>13.4</v>
      </c>
      <c r="F176">
        <v>-16.78</v>
      </c>
      <c r="G176">
        <v>2312.3099999999899</v>
      </c>
      <c r="H176" t="s">
        <v>1396</v>
      </c>
      <c r="I176" t="s">
        <v>937</v>
      </c>
    </row>
    <row r="177" spans="1:9" x14ac:dyDescent="0.3">
      <c r="A177">
        <v>45664</v>
      </c>
      <c r="B177" t="s">
        <v>1540</v>
      </c>
      <c r="C177" t="s">
        <v>1540</v>
      </c>
      <c r="D177">
        <v>0</v>
      </c>
      <c r="E177">
        <v>27.7899999999999</v>
      </c>
      <c r="F177">
        <v>-13.21</v>
      </c>
      <c r="G177">
        <v>6733.8</v>
      </c>
      <c r="H177" t="s">
        <v>1425</v>
      </c>
      <c r="I177" t="s">
        <v>412</v>
      </c>
    </row>
    <row r="178" spans="1:9" x14ac:dyDescent="0.3">
      <c r="A178">
        <v>46581</v>
      </c>
      <c r="B178" t="s">
        <v>1541</v>
      </c>
      <c r="C178" t="s">
        <v>1541</v>
      </c>
      <c r="D178">
        <v>0</v>
      </c>
      <c r="E178">
        <v>33.793972191899897</v>
      </c>
      <c r="F178">
        <v>1.90760985774</v>
      </c>
      <c r="G178">
        <v>13000</v>
      </c>
      <c r="H178" t="s">
        <v>1375</v>
      </c>
      <c r="I178" t="s">
        <v>182</v>
      </c>
    </row>
    <row r="179" spans="1:9" x14ac:dyDescent="0.3">
      <c r="A179">
        <v>46588</v>
      </c>
      <c r="B179" t="s">
        <v>1542</v>
      </c>
      <c r="C179" t="s">
        <v>1542</v>
      </c>
      <c r="D179">
        <v>0</v>
      </c>
      <c r="E179">
        <v>36.741086685299898</v>
      </c>
      <c r="F179">
        <v>7.4610932807300001</v>
      </c>
      <c r="G179">
        <v>420</v>
      </c>
      <c r="H179" t="s">
        <v>1375</v>
      </c>
      <c r="I179" t="s">
        <v>182</v>
      </c>
    </row>
    <row r="180" spans="1:9" x14ac:dyDescent="0.3">
      <c r="A180">
        <v>46593</v>
      </c>
      <c r="B180" t="s">
        <v>1543</v>
      </c>
      <c r="C180" t="s">
        <v>1543</v>
      </c>
      <c r="D180">
        <v>0</v>
      </c>
      <c r="E180">
        <v>31.223526956699899</v>
      </c>
      <c r="F180">
        <v>27.6006914331</v>
      </c>
      <c r="G180">
        <v>200</v>
      </c>
      <c r="H180" t="s">
        <v>1530</v>
      </c>
      <c r="I180" t="s">
        <v>44</v>
      </c>
    </row>
    <row r="181" spans="1:9" x14ac:dyDescent="0.3">
      <c r="A181">
        <v>46594</v>
      </c>
      <c r="B181" t="s">
        <v>1544</v>
      </c>
      <c r="C181" t="s">
        <v>1544</v>
      </c>
      <c r="D181">
        <v>0</v>
      </c>
      <c r="E181">
        <v>31.4458331155999</v>
      </c>
      <c r="F181">
        <v>25.0432565435</v>
      </c>
      <c r="G181">
        <v>590</v>
      </c>
      <c r="H181" t="s">
        <v>1530</v>
      </c>
      <c r="I181" t="s">
        <v>44</v>
      </c>
    </row>
    <row r="182" spans="1:9" x14ac:dyDescent="0.3">
      <c r="A182">
        <v>46604</v>
      </c>
      <c r="B182" t="s">
        <v>1545</v>
      </c>
      <c r="C182" t="s">
        <v>1545</v>
      </c>
      <c r="D182">
        <v>0</v>
      </c>
      <c r="E182">
        <v>34.140200696800001</v>
      </c>
      <c r="F182">
        <v>-4.3223702911800004</v>
      </c>
      <c r="G182">
        <v>180</v>
      </c>
      <c r="H182" t="s">
        <v>1425</v>
      </c>
      <c r="I182" t="s">
        <v>412</v>
      </c>
    </row>
    <row r="183" spans="1:9" x14ac:dyDescent="0.3">
      <c r="A183">
        <v>46617</v>
      </c>
      <c r="B183" t="s">
        <v>1546</v>
      </c>
      <c r="C183" t="s">
        <v>1546</v>
      </c>
      <c r="D183">
        <v>0</v>
      </c>
      <c r="E183">
        <v>37.102166666700001</v>
      </c>
      <c r="F183">
        <v>9.2058333333300002</v>
      </c>
      <c r="G183">
        <v>20</v>
      </c>
      <c r="H183" t="s">
        <v>1465</v>
      </c>
      <c r="I183" t="s">
        <v>133</v>
      </c>
    </row>
    <row r="184" spans="1:9" x14ac:dyDescent="0.3">
      <c r="A184">
        <v>46620</v>
      </c>
      <c r="B184" t="s">
        <v>1547</v>
      </c>
      <c r="C184" t="s">
        <v>1547</v>
      </c>
      <c r="D184">
        <v>0</v>
      </c>
      <c r="E184">
        <v>36.692833333300001</v>
      </c>
      <c r="F184">
        <v>10.3463333333</v>
      </c>
      <c r="G184">
        <v>37</v>
      </c>
      <c r="H184" t="s">
        <v>1465</v>
      </c>
      <c r="I184" t="s">
        <v>133</v>
      </c>
    </row>
    <row r="185" spans="1:9" x14ac:dyDescent="0.3">
      <c r="A185">
        <v>46622</v>
      </c>
      <c r="B185" t="s">
        <v>1548</v>
      </c>
      <c r="C185" t="s">
        <v>1548</v>
      </c>
      <c r="D185">
        <v>0</v>
      </c>
      <c r="E185">
        <v>35.9858333333</v>
      </c>
      <c r="F185">
        <v>10.4811666667</v>
      </c>
      <c r="G185">
        <v>23</v>
      </c>
      <c r="H185" t="s">
        <v>1465</v>
      </c>
      <c r="I185" t="s">
        <v>133</v>
      </c>
    </row>
    <row r="186" spans="1:9" x14ac:dyDescent="0.3">
      <c r="A186">
        <v>46633</v>
      </c>
      <c r="B186" t="s">
        <v>1549</v>
      </c>
      <c r="C186" t="s">
        <v>1549</v>
      </c>
      <c r="D186">
        <v>0</v>
      </c>
      <c r="E186">
        <v>36.175269923099897</v>
      </c>
      <c r="F186">
        <v>4.5147697143099998</v>
      </c>
      <c r="G186">
        <v>1100</v>
      </c>
      <c r="H186" t="s">
        <v>1375</v>
      </c>
      <c r="I186" t="s">
        <v>182</v>
      </c>
    </row>
    <row r="187" spans="1:9" x14ac:dyDescent="0.3">
      <c r="A187">
        <v>46643</v>
      </c>
      <c r="B187" t="s">
        <v>1550</v>
      </c>
      <c r="C187" t="s">
        <v>1550</v>
      </c>
      <c r="D187">
        <v>0</v>
      </c>
      <c r="E187">
        <v>33.873284635200001</v>
      </c>
      <c r="F187">
        <v>-5.3107448814599998</v>
      </c>
      <c r="G187">
        <v>690</v>
      </c>
      <c r="H187" t="s">
        <v>1425</v>
      </c>
      <c r="I187" t="s">
        <v>412</v>
      </c>
    </row>
    <row r="188" spans="1:9" x14ac:dyDescent="0.3">
      <c r="A188">
        <v>46656</v>
      </c>
      <c r="B188" t="s">
        <v>1551</v>
      </c>
      <c r="C188" t="s">
        <v>1551</v>
      </c>
      <c r="D188">
        <v>0</v>
      </c>
      <c r="E188">
        <v>35.056793633200002</v>
      </c>
      <c r="F188">
        <v>-1.74445791007</v>
      </c>
      <c r="G188">
        <v>1700</v>
      </c>
      <c r="H188" t="s">
        <v>1375</v>
      </c>
      <c r="I188" t="s">
        <v>182</v>
      </c>
    </row>
    <row r="189" spans="1:9" x14ac:dyDescent="0.3">
      <c r="A189">
        <v>46672</v>
      </c>
      <c r="B189" t="s">
        <v>1552</v>
      </c>
      <c r="C189" t="s">
        <v>1552</v>
      </c>
      <c r="D189">
        <v>0</v>
      </c>
      <c r="E189">
        <v>36.918660645000003</v>
      </c>
      <c r="F189">
        <v>9.0623128519700007</v>
      </c>
      <c r="G189">
        <v>820</v>
      </c>
      <c r="H189" t="s">
        <v>1465</v>
      </c>
      <c r="I189" t="s">
        <v>133</v>
      </c>
    </row>
    <row r="190" spans="1:9" x14ac:dyDescent="0.3">
      <c r="A190">
        <v>46676</v>
      </c>
      <c r="B190" t="s">
        <v>1553</v>
      </c>
      <c r="C190" t="s">
        <v>1553</v>
      </c>
      <c r="D190">
        <v>0</v>
      </c>
      <c r="E190">
        <v>30.813333333300001</v>
      </c>
      <c r="F190">
        <v>-9.7996666666699905</v>
      </c>
      <c r="G190">
        <v>130</v>
      </c>
      <c r="H190" t="s">
        <v>1425</v>
      </c>
      <c r="I190" t="s">
        <v>412</v>
      </c>
    </row>
    <row r="191" spans="1:9" x14ac:dyDescent="0.3">
      <c r="A191">
        <v>46979</v>
      </c>
      <c r="B191" t="s">
        <v>1554</v>
      </c>
      <c r="C191" t="s">
        <v>1554</v>
      </c>
      <c r="D191">
        <v>0</v>
      </c>
      <c r="E191">
        <v>-0.70516666666700001</v>
      </c>
      <c r="F191">
        <v>31.3258333333</v>
      </c>
      <c r="G191">
        <v>40.020000000000003</v>
      </c>
      <c r="H191" t="s">
        <v>1482</v>
      </c>
      <c r="I191" t="s">
        <v>142</v>
      </c>
    </row>
    <row r="192" spans="1:9" x14ac:dyDescent="0.3">
      <c r="A192">
        <v>46981</v>
      </c>
      <c r="B192" t="s">
        <v>1555</v>
      </c>
      <c r="C192" t="s">
        <v>1555</v>
      </c>
      <c r="D192">
        <v>0</v>
      </c>
      <c r="E192">
        <v>0.44</v>
      </c>
      <c r="F192">
        <v>31.92</v>
      </c>
      <c r="G192">
        <v>1508</v>
      </c>
      <c r="H192" t="s">
        <v>1482</v>
      </c>
      <c r="I192" t="s">
        <v>142</v>
      </c>
    </row>
    <row r="193" spans="1:9" x14ac:dyDescent="0.3">
      <c r="A193">
        <v>46984</v>
      </c>
      <c r="B193" t="s">
        <v>1556</v>
      </c>
      <c r="C193" t="s">
        <v>1556</v>
      </c>
      <c r="D193">
        <v>0</v>
      </c>
      <c r="E193">
        <v>-2.0266666666700002</v>
      </c>
      <c r="F193">
        <v>29.972166666700002</v>
      </c>
      <c r="G193">
        <v>214.189999999999</v>
      </c>
      <c r="H193" t="s">
        <v>1514</v>
      </c>
      <c r="I193" t="s">
        <v>613</v>
      </c>
    </row>
    <row r="194" spans="1:9" x14ac:dyDescent="0.3">
      <c r="A194">
        <v>46988</v>
      </c>
      <c r="B194" t="s">
        <v>1557</v>
      </c>
      <c r="C194" t="s">
        <v>1557</v>
      </c>
      <c r="D194">
        <v>0</v>
      </c>
      <c r="E194">
        <v>0.26233333333300002</v>
      </c>
      <c r="F194">
        <v>33.068333333299897</v>
      </c>
      <c r="G194">
        <v>454.82999999999902</v>
      </c>
      <c r="H194" t="s">
        <v>1482</v>
      </c>
      <c r="I194" t="s">
        <v>142</v>
      </c>
    </row>
    <row r="195" spans="1:9" x14ac:dyDescent="0.3">
      <c r="A195">
        <v>46992</v>
      </c>
      <c r="B195" t="s">
        <v>1558</v>
      </c>
      <c r="C195" t="s">
        <v>1558</v>
      </c>
      <c r="D195">
        <v>0</v>
      </c>
      <c r="E195">
        <v>-0.98266666666699998</v>
      </c>
      <c r="F195">
        <v>34.9023333333</v>
      </c>
      <c r="G195">
        <v>141</v>
      </c>
      <c r="H195" t="s">
        <v>1405</v>
      </c>
      <c r="I195" t="s">
        <v>87</v>
      </c>
    </row>
    <row r="196" spans="1:9" x14ac:dyDescent="0.3">
      <c r="A196">
        <v>47038</v>
      </c>
      <c r="B196" t="s">
        <v>1559</v>
      </c>
      <c r="C196" t="s">
        <v>1559</v>
      </c>
      <c r="D196">
        <v>1</v>
      </c>
      <c r="E196">
        <v>5.8390000000000004</v>
      </c>
      <c r="F196">
        <v>-9.9231666666699905</v>
      </c>
      <c r="G196">
        <v>131.91999999999899</v>
      </c>
      <c r="H196" t="s">
        <v>1418</v>
      </c>
      <c r="I196" t="s">
        <v>980</v>
      </c>
    </row>
    <row r="197" spans="1:9" x14ac:dyDescent="0.3">
      <c r="A197">
        <v>48997</v>
      </c>
      <c r="B197" t="s">
        <v>1560</v>
      </c>
      <c r="C197" t="s">
        <v>1560</v>
      </c>
      <c r="D197">
        <v>0</v>
      </c>
      <c r="E197">
        <v>-14.4666666667</v>
      </c>
      <c r="F197">
        <v>35.2575</v>
      </c>
      <c r="G197">
        <v>15.44</v>
      </c>
      <c r="H197" t="s">
        <v>1436</v>
      </c>
      <c r="I197" t="s">
        <v>888</v>
      </c>
    </row>
    <row r="198" spans="1:9" x14ac:dyDescent="0.3">
      <c r="A198">
        <v>49160</v>
      </c>
      <c r="B198" t="s">
        <v>1561</v>
      </c>
      <c r="C198" t="s">
        <v>1562</v>
      </c>
      <c r="D198">
        <v>1</v>
      </c>
      <c r="E198">
        <v>-18.615400000000001</v>
      </c>
      <c r="F198">
        <v>35.038080000000001</v>
      </c>
      <c r="G198">
        <v>23087.876</v>
      </c>
      <c r="H198" t="s">
        <v>1538</v>
      </c>
      <c r="I198" t="s">
        <v>799</v>
      </c>
    </row>
    <row r="199" spans="1:9" x14ac:dyDescent="0.3">
      <c r="A199">
        <v>100076</v>
      </c>
      <c r="B199" t="s">
        <v>1563</v>
      </c>
      <c r="C199" t="s">
        <v>1563</v>
      </c>
      <c r="D199">
        <v>1</v>
      </c>
      <c r="E199">
        <v>-2.0215000000000001</v>
      </c>
      <c r="F199">
        <v>29.0408333333</v>
      </c>
      <c r="G199">
        <v>1705</v>
      </c>
      <c r="H199" t="s">
        <v>1564</v>
      </c>
      <c r="I199" t="s">
        <v>1565</v>
      </c>
    </row>
    <row r="200" spans="1:9" x14ac:dyDescent="0.3">
      <c r="A200">
        <v>100093</v>
      </c>
      <c r="B200" t="s">
        <v>1566</v>
      </c>
      <c r="C200" t="s">
        <v>1566</v>
      </c>
      <c r="D200">
        <v>0</v>
      </c>
      <c r="E200">
        <v>-2.2385000000000002</v>
      </c>
      <c r="F200">
        <v>30.809999999999899</v>
      </c>
      <c r="G200">
        <v>275.95999999999901</v>
      </c>
      <c r="H200" t="s">
        <v>1567</v>
      </c>
      <c r="I200" t="s">
        <v>1568</v>
      </c>
    </row>
    <row r="201" spans="1:9" x14ac:dyDescent="0.3">
      <c r="A201">
        <v>100274</v>
      </c>
      <c r="B201" t="s">
        <v>1569</v>
      </c>
      <c r="C201" t="s">
        <v>1569</v>
      </c>
      <c r="D201">
        <v>0</v>
      </c>
      <c r="E201">
        <v>0.96</v>
      </c>
      <c r="F201">
        <v>15.58</v>
      </c>
      <c r="G201">
        <v>11506</v>
      </c>
      <c r="H201" t="s">
        <v>1361</v>
      </c>
      <c r="I201" t="s">
        <v>1043</v>
      </c>
    </row>
    <row r="202" spans="1:9" x14ac:dyDescent="0.3">
      <c r="A202">
        <v>100395</v>
      </c>
      <c r="B202" t="s">
        <v>1570</v>
      </c>
      <c r="C202" t="s">
        <v>1571</v>
      </c>
      <c r="D202">
        <v>0</v>
      </c>
      <c r="E202">
        <v>1.8643700000000001</v>
      </c>
      <c r="F202">
        <v>16.686589999999899</v>
      </c>
      <c r="G202">
        <v>12979.1599999999</v>
      </c>
      <c r="H202" t="s">
        <v>1361</v>
      </c>
      <c r="I202" t="s">
        <v>1043</v>
      </c>
    </row>
    <row r="203" spans="1:9" x14ac:dyDescent="0.3">
      <c r="A203">
        <v>100396</v>
      </c>
      <c r="B203" t="s">
        <v>1572</v>
      </c>
      <c r="C203" t="s">
        <v>1572</v>
      </c>
      <c r="D203">
        <v>0</v>
      </c>
      <c r="E203">
        <v>1.8679699999999999</v>
      </c>
      <c r="F203">
        <v>14.02449</v>
      </c>
      <c r="G203">
        <v>5324</v>
      </c>
      <c r="H203" t="s">
        <v>1361</v>
      </c>
      <c r="I203" t="s">
        <v>1043</v>
      </c>
    </row>
    <row r="204" spans="1:9" x14ac:dyDescent="0.3">
      <c r="A204">
        <v>100401</v>
      </c>
      <c r="B204" t="s">
        <v>1573</v>
      </c>
      <c r="C204" t="s">
        <v>1573</v>
      </c>
      <c r="D204">
        <v>0</v>
      </c>
      <c r="E204">
        <v>1.73899</v>
      </c>
      <c r="F204">
        <v>15.1765899999999</v>
      </c>
      <c r="G204">
        <v>6393</v>
      </c>
      <c r="H204" t="s">
        <v>1361</v>
      </c>
      <c r="I204" t="s">
        <v>1043</v>
      </c>
    </row>
    <row r="205" spans="1:9" x14ac:dyDescent="0.3">
      <c r="A205">
        <v>100425</v>
      </c>
      <c r="B205" t="s">
        <v>1574</v>
      </c>
      <c r="C205" t="s">
        <v>1575</v>
      </c>
      <c r="D205">
        <v>1</v>
      </c>
      <c r="E205">
        <v>-0.69674999999999998</v>
      </c>
      <c r="F205">
        <v>10.16161</v>
      </c>
      <c r="G205">
        <v>13637.19</v>
      </c>
      <c r="H205" t="s">
        <v>1576</v>
      </c>
      <c r="I205" t="s">
        <v>1014</v>
      </c>
    </row>
    <row r="206" spans="1:9" x14ac:dyDescent="0.3">
      <c r="A206">
        <v>100701</v>
      </c>
      <c r="B206" t="s">
        <v>1577</v>
      </c>
      <c r="C206" t="s">
        <v>1577</v>
      </c>
      <c r="D206">
        <v>0</v>
      </c>
      <c r="E206">
        <v>-33.434957134400001</v>
      </c>
      <c r="F206">
        <v>25.719942578400001</v>
      </c>
      <c r="G206">
        <v>2465.1737213400002</v>
      </c>
      <c r="H206" t="s">
        <v>1487</v>
      </c>
      <c r="I206" t="s">
        <v>1191</v>
      </c>
    </row>
    <row r="207" spans="1:9" x14ac:dyDescent="0.3">
      <c r="A207">
        <v>100705</v>
      </c>
      <c r="B207" t="s">
        <v>1578</v>
      </c>
      <c r="C207" t="s">
        <v>1578</v>
      </c>
      <c r="D207">
        <v>0</v>
      </c>
      <c r="E207">
        <v>-33.401912902299898</v>
      </c>
      <c r="F207">
        <v>26.398911931299899</v>
      </c>
      <c r="G207">
        <v>2904.7339217099902</v>
      </c>
      <c r="H207" t="s">
        <v>1487</v>
      </c>
      <c r="I207" t="s">
        <v>1191</v>
      </c>
    </row>
    <row r="208" spans="1:9" x14ac:dyDescent="0.3">
      <c r="A208">
        <v>100709</v>
      </c>
      <c r="B208" t="s">
        <v>1579</v>
      </c>
      <c r="C208" t="s">
        <v>1579</v>
      </c>
      <c r="D208">
        <v>0</v>
      </c>
      <c r="E208">
        <v>-29.641922197700001</v>
      </c>
      <c r="F208">
        <v>30.463541999</v>
      </c>
      <c r="G208">
        <v>58.026972887299898</v>
      </c>
      <c r="H208" t="s">
        <v>1487</v>
      </c>
      <c r="I208" t="s">
        <v>1191</v>
      </c>
    </row>
    <row r="209" spans="1:9" x14ac:dyDescent="0.3">
      <c r="A209">
        <v>100713</v>
      </c>
      <c r="B209" t="s">
        <v>1580</v>
      </c>
      <c r="C209" t="s">
        <v>1580</v>
      </c>
      <c r="D209">
        <v>1</v>
      </c>
      <c r="E209">
        <v>-25.8150554628</v>
      </c>
      <c r="F209">
        <v>31.1149452965</v>
      </c>
      <c r="G209">
        <v>1914.6276800600001</v>
      </c>
      <c r="H209" t="s">
        <v>1487</v>
      </c>
      <c r="I209" t="s">
        <v>1191</v>
      </c>
    </row>
    <row r="210" spans="1:9" x14ac:dyDescent="0.3">
      <c r="A210">
        <v>100725</v>
      </c>
      <c r="B210" t="s">
        <v>1581</v>
      </c>
      <c r="C210" t="s">
        <v>1581</v>
      </c>
      <c r="D210">
        <v>1</v>
      </c>
      <c r="E210">
        <v>-33.806863846600002</v>
      </c>
      <c r="F210">
        <v>19.136900744999899</v>
      </c>
      <c r="G210">
        <v>1729.80031938</v>
      </c>
      <c r="H210" t="s">
        <v>1487</v>
      </c>
      <c r="I210" t="s">
        <v>1191</v>
      </c>
    </row>
    <row r="211" spans="1:9" x14ac:dyDescent="0.3">
      <c r="A211">
        <v>100729</v>
      </c>
      <c r="B211" t="s">
        <v>1582</v>
      </c>
      <c r="C211" t="s">
        <v>1582</v>
      </c>
      <c r="D211">
        <v>0</v>
      </c>
      <c r="E211">
        <v>-34.3275238806999</v>
      </c>
      <c r="F211">
        <v>19.129169636499899</v>
      </c>
      <c r="G211">
        <v>86.647455002300006</v>
      </c>
      <c r="H211" t="s">
        <v>1487</v>
      </c>
      <c r="I211" t="s">
        <v>1191</v>
      </c>
    </row>
    <row r="212" spans="1:9" x14ac:dyDescent="0.3">
      <c r="A212">
        <v>100736</v>
      </c>
      <c r="B212" t="s">
        <v>1583</v>
      </c>
      <c r="C212" t="s">
        <v>1583</v>
      </c>
      <c r="D212">
        <v>0</v>
      </c>
      <c r="E212">
        <v>-33.022102276699897</v>
      </c>
      <c r="F212">
        <v>27.7388509269</v>
      </c>
      <c r="G212">
        <v>674.96888103100002</v>
      </c>
      <c r="H212" t="s">
        <v>1487</v>
      </c>
      <c r="I212" t="s">
        <v>1191</v>
      </c>
    </row>
    <row r="213" spans="1:9" x14ac:dyDescent="0.3">
      <c r="A213">
        <v>100737</v>
      </c>
      <c r="B213" t="s">
        <v>1584</v>
      </c>
      <c r="C213" t="s">
        <v>1584</v>
      </c>
      <c r="D213">
        <v>1</v>
      </c>
      <c r="E213">
        <v>-32.8734700459</v>
      </c>
      <c r="F213">
        <v>27.428709998399899</v>
      </c>
      <c r="G213">
        <v>355.12713872199902</v>
      </c>
      <c r="H213" t="s">
        <v>1487</v>
      </c>
      <c r="I213" t="s">
        <v>1191</v>
      </c>
    </row>
    <row r="214" spans="1:9" x14ac:dyDescent="0.3">
      <c r="A214">
        <v>100741</v>
      </c>
      <c r="B214" t="s">
        <v>1585</v>
      </c>
      <c r="C214" t="s">
        <v>1585</v>
      </c>
      <c r="D214">
        <v>1</v>
      </c>
      <c r="E214">
        <v>-34.192642893699897</v>
      </c>
      <c r="F214">
        <v>19.513996855799899</v>
      </c>
      <c r="G214">
        <v>111.154803333999</v>
      </c>
      <c r="H214" t="s">
        <v>1487</v>
      </c>
      <c r="I214" t="s">
        <v>1191</v>
      </c>
    </row>
    <row r="215" spans="1:9" x14ac:dyDescent="0.3">
      <c r="A215">
        <v>100743</v>
      </c>
      <c r="B215" t="s">
        <v>1586</v>
      </c>
      <c r="C215" t="s">
        <v>1586</v>
      </c>
      <c r="D215">
        <v>0</v>
      </c>
      <c r="E215">
        <v>-33.872939264400003</v>
      </c>
      <c r="F215">
        <v>18.5354528202</v>
      </c>
      <c r="G215">
        <v>19.0234536148999</v>
      </c>
      <c r="H215" t="s">
        <v>1487</v>
      </c>
      <c r="I215" t="s">
        <v>1191</v>
      </c>
    </row>
    <row r="216" spans="1:9" x14ac:dyDescent="0.3">
      <c r="A216">
        <v>100746</v>
      </c>
      <c r="B216" t="s">
        <v>1587</v>
      </c>
      <c r="C216" t="s">
        <v>1587</v>
      </c>
      <c r="D216">
        <v>0</v>
      </c>
      <c r="E216">
        <v>-28.1036816684</v>
      </c>
      <c r="F216">
        <v>30.0846215501</v>
      </c>
      <c r="G216">
        <v>591.57721606799896</v>
      </c>
      <c r="H216" t="s">
        <v>1487</v>
      </c>
      <c r="I216" t="s">
        <v>1191</v>
      </c>
    </row>
    <row r="217" spans="1:9" x14ac:dyDescent="0.3">
      <c r="A217">
        <v>100747</v>
      </c>
      <c r="B217" t="s">
        <v>1588</v>
      </c>
      <c r="C217" t="s">
        <v>1588</v>
      </c>
      <c r="D217">
        <v>0</v>
      </c>
      <c r="E217">
        <v>-26.3409152288</v>
      </c>
      <c r="F217">
        <v>30.186033342599899</v>
      </c>
      <c r="G217">
        <v>3423.3340868300002</v>
      </c>
      <c r="H217" t="s">
        <v>1487</v>
      </c>
      <c r="I217" t="s">
        <v>1191</v>
      </c>
    </row>
    <row r="218" spans="1:9" x14ac:dyDescent="0.3">
      <c r="A218">
        <v>100749</v>
      </c>
      <c r="B218" t="s">
        <v>1589</v>
      </c>
      <c r="C218" t="s">
        <v>1589</v>
      </c>
      <c r="D218">
        <v>0</v>
      </c>
      <c r="E218">
        <v>-32.117457852400001</v>
      </c>
      <c r="F218">
        <v>18.7510493204</v>
      </c>
      <c r="G218">
        <v>575.82898690399895</v>
      </c>
      <c r="H218" t="s">
        <v>1487</v>
      </c>
      <c r="I218" t="s">
        <v>1191</v>
      </c>
    </row>
    <row r="219" spans="1:9" x14ac:dyDescent="0.3">
      <c r="A219">
        <v>100752</v>
      </c>
      <c r="B219" t="s">
        <v>1590</v>
      </c>
      <c r="C219" t="s">
        <v>1590</v>
      </c>
      <c r="D219">
        <v>0</v>
      </c>
      <c r="E219">
        <v>-25.912767837099899</v>
      </c>
      <c r="F219">
        <v>27.824309873000001</v>
      </c>
      <c r="G219">
        <v>934.932040207</v>
      </c>
      <c r="H219" t="s">
        <v>1487</v>
      </c>
      <c r="I219" t="s">
        <v>1191</v>
      </c>
    </row>
    <row r="220" spans="1:9" x14ac:dyDescent="0.3">
      <c r="A220">
        <v>100753</v>
      </c>
      <c r="B220" t="s">
        <v>1591</v>
      </c>
      <c r="C220" t="s">
        <v>1591</v>
      </c>
      <c r="D220">
        <v>0</v>
      </c>
      <c r="E220">
        <v>-25.558526193999899</v>
      </c>
      <c r="F220">
        <v>30.8693775773</v>
      </c>
      <c r="G220">
        <v>1875.2976586699899</v>
      </c>
      <c r="H220" t="s">
        <v>1487</v>
      </c>
      <c r="I220" t="s">
        <v>1191</v>
      </c>
    </row>
    <row r="221" spans="1:9" x14ac:dyDescent="0.3">
      <c r="A221">
        <v>100757</v>
      </c>
      <c r="B221" t="s">
        <v>1592</v>
      </c>
      <c r="C221" t="s">
        <v>1592</v>
      </c>
      <c r="D221">
        <v>0</v>
      </c>
      <c r="E221">
        <v>-26.620457722200001</v>
      </c>
      <c r="F221">
        <v>28.800256002000001</v>
      </c>
      <c r="G221">
        <v>2124.0054895200001</v>
      </c>
      <c r="H221" t="s">
        <v>1487</v>
      </c>
      <c r="I221" t="s">
        <v>1191</v>
      </c>
    </row>
    <row r="222" spans="1:9" x14ac:dyDescent="0.3">
      <c r="A222">
        <v>100760</v>
      </c>
      <c r="B222" t="s">
        <v>1593</v>
      </c>
      <c r="C222" t="s">
        <v>1593</v>
      </c>
      <c r="D222">
        <v>0</v>
      </c>
      <c r="E222">
        <v>-33.829562525100002</v>
      </c>
      <c r="F222">
        <v>18.623347476900001</v>
      </c>
      <c r="G222">
        <v>27.241974085300001</v>
      </c>
      <c r="H222" t="s">
        <v>1487</v>
      </c>
      <c r="I222" t="s">
        <v>1191</v>
      </c>
    </row>
    <row r="223" spans="1:9" x14ac:dyDescent="0.3">
      <c r="A223">
        <v>100763</v>
      </c>
      <c r="B223" t="s">
        <v>1594</v>
      </c>
      <c r="C223" t="s">
        <v>1594</v>
      </c>
      <c r="D223">
        <v>0</v>
      </c>
      <c r="E223">
        <v>-28.332541128700001</v>
      </c>
      <c r="F223">
        <v>29.2993051891</v>
      </c>
      <c r="G223">
        <v>843.11985804000005</v>
      </c>
      <c r="H223" t="s">
        <v>1487</v>
      </c>
      <c r="I223" t="s">
        <v>1191</v>
      </c>
    </row>
    <row r="224" spans="1:9" x14ac:dyDescent="0.3">
      <c r="A224">
        <v>100764</v>
      </c>
      <c r="B224" t="s">
        <v>1595</v>
      </c>
      <c r="C224" t="s">
        <v>1595</v>
      </c>
      <c r="D224">
        <v>0</v>
      </c>
      <c r="E224">
        <v>-32.693732396999899</v>
      </c>
      <c r="F224">
        <v>22.746541725699899</v>
      </c>
      <c r="G224">
        <v>4405.88435922999</v>
      </c>
      <c r="H224" t="s">
        <v>1487</v>
      </c>
      <c r="I224" t="s">
        <v>1191</v>
      </c>
    </row>
    <row r="225" spans="1:9" x14ac:dyDescent="0.3">
      <c r="A225">
        <v>100770</v>
      </c>
      <c r="B225" t="s">
        <v>1596</v>
      </c>
      <c r="C225" t="s">
        <v>1596</v>
      </c>
      <c r="D225">
        <v>0</v>
      </c>
      <c r="E225">
        <v>-34.038196675599899</v>
      </c>
      <c r="F225">
        <v>18.6421835348999</v>
      </c>
      <c r="G225">
        <v>122.93188397500001</v>
      </c>
      <c r="H225" t="s">
        <v>1487</v>
      </c>
      <c r="I225" t="s">
        <v>1191</v>
      </c>
    </row>
    <row r="226" spans="1:9" x14ac:dyDescent="0.3">
      <c r="A226">
        <v>100772</v>
      </c>
      <c r="B226" t="s">
        <v>1597</v>
      </c>
      <c r="C226" t="s">
        <v>1597</v>
      </c>
      <c r="D226">
        <v>0</v>
      </c>
      <c r="E226">
        <v>-33.102206387000003</v>
      </c>
      <c r="F226">
        <v>26.694092957999899</v>
      </c>
      <c r="G226">
        <v>1408.7034151600001</v>
      </c>
      <c r="H226" t="s">
        <v>1487</v>
      </c>
      <c r="I226" t="s">
        <v>1191</v>
      </c>
    </row>
    <row r="227" spans="1:9" x14ac:dyDescent="0.3">
      <c r="A227">
        <v>100774</v>
      </c>
      <c r="B227" t="s">
        <v>1598</v>
      </c>
      <c r="C227" t="s">
        <v>1598</v>
      </c>
      <c r="D227">
        <v>1</v>
      </c>
      <c r="E227">
        <v>-33.942173368799899</v>
      </c>
      <c r="F227">
        <v>23.525013683000001</v>
      </c>
      <c r="G227">
        <v>6460.2699314399897</v>
      </c>
      <c r="H227" t="s">
        <v>1487</v>
      </c>
      <c r="I227" t="s">
        <v>1191</v>
      </c>
    </row>
    <row r="228" spans="1:9" x14ac:dyDescent="0.3">
      <c r="A228">
        <v>100776</v>
      </c>
      <c r="B228" t="s">
        <v>1599</v>
      </c>
      <c r="C228" t="s">
        <v>1599</v>
      </c>
      <c r="D228">
        <v>0</v>
      </c>
      <c r="E228">
        <v>-28.873374875500001</v>
      </c>
      <c r="F228">
        <v>17.786049551000001</v>
      </c>
      <c r="G228">
        <v>1605.9867217799899</v>
      </c>
      <c r="H228" t="s">
        <v>1487</v>
      </c>
      <c r="I228" t="s">
        <v>1191</v>
      </c>
    </row>
    <row r="229" spans="1:9" x14ac:dyDescent="0.3">
      <c r="A229">
        <v>100777</v>
      </c>
      <c r="B229" t="s">
        <v>1600</v>
      </c>
      <c r="C229" t="s">
        <v>1600</v>
      </c>
      <c r="D229">
        <v>0</v>
      </c>
      <c r="E229">
        <v>-29.8323928049</v>
      </c>
      <c r="F229">
        <v>30.815595909199899</v>
      </c>
      <c r="G229">
        <v>30.7470007704</v>
      </c>
      <c r="H229" t="s">
        <v>1487</v>
      </c>
      <c r="I229" t="s">
        <v>1191</v>
      </c>
    </row>
    <row r="230" spans="1:9" x14ac:dyDescent="0.3">
      <c r="A230">
        <v>100782</v>
      </c>
      <c r="B230" t="s">
        <v>1601</v>
      </c>
      <c r="C230" t="s">
        <v>1601</v>
      </c>
      <c r="D230">
        <v>1</v>
      </c>
      <c r="E230">
        <v>-34.303391410899899</v>
      </c>
      <c r="F230">
        <v>21.3881958965999</v>
      </c>
      <c r="G230">
        <v>1617.8600587400001</v>
      </c>
      <c r="H230" t="s">
        <v>1487</v>
      </c>
      <c r="I230" t="s">
        <v>1191</v>
      </c>
    </row>
    <row r="231" spans="1:9" x14ac:dyDescent="0.3">
      <c r="A231">
        <v>100783</v>
      </c>
      <c r="B231" t="s">
        <v>1602</v>
      </c>
      <c r="C231" t="s">
        <v>1602</v>
      </c>
      <c r="D231">
        <v>0</v>
      </c>
      <c r="E231">
        <v>-34.165177635299898</v>
      </c>
      <c r="F231">
        <v>20.990770673299899</v>
      </c>
      <c r="G231">
        <v>59.492367652299897</v>
      </c>
      <c r="H231" t="s">
        <v>1487</v>
      </c>
      <c r="I231" t="s">
        <v>1191</v>
      </c>
    </row>
    <row r="232" spans="1:9" x14ac:dyDescent="0.3">
      <c r="A232">
        <v>100787</v>
      </c>
      <c r="B232" t="s">
        <v>1603</v>
      </c>
      <c r="C232" t="s">
        <v>1603</v>
      </c>
      <c r="D232">
        <v>0</v>
      </c>
      <c r="E232">
        <v>-34.033967941299899</v>
      </c>
      <c r="F232">
        <v>20.8015455154999</v>
      </c>
      <c r="G232">
        <v>384.71089239999901</v>
      </c>
      <c r="H232" t="s">
        <v>1487</v>
      </c>
      <c r="I232" t="s">
        <v>1191</v>
      </c>
    </row>
    <row r="233" spans="1:9" x14ac:dyDescent="0.3">
      <c r="A233">
        <v>100789</v>
      </c>
      <c r="B233" t="s">
        <v>1604</v>
      </c>
      <c r="C233" t="s">
        <v>1604</v>
      </c>
      <c r="D233">
        <v>0</v>
      </c>
      <c r="E233">
        <v>-34.056641585999898</v>
      </c>
      <c r="F233">
        <v>21.260745560699899</v>
      </c>
      <c r="G233">
        <v>66.980504563400004</v>
      </c>
      <c r="H233" t="s">
        <v>1487</v>
      </c>
      <c r="I233" t="s">
        <v>1191</v>
      </c>
    </row>
    <row r="234" spans="1:9" x14ac:dyDescent="0.3">
      <c r="A234">
        <v>100791</v>
      </c>
      <c r="B234" t="s">
        <v>1605</v>
      </c>
      <c r="C234" t="s">
        <v>1605</v>
      </c>
      <c r="D234">
        <v>1</v>
      </c>
      <c r="E234">
        <v>-34.057775937099898</v>
      </c>
      <c r="F234">
        <v>21.925208298400001</v>
      </c>
      <c r="G234">
        <v>1794.6559110799899</v>
      </c>
      <c r="H234" t="s">
        <v>1487</v>
      </c>
      <c r="I234" t="s">
        <v>1191</v>
      </c>
    </row>
    <row r="235" spans="1:9" x14ac:dyDescent="0.3">
      <c r="A235">
        <v>100792</v>
      </c>
      <c r="B235" t="s">
        <v>1606</v>
      </c>
      <c r="C235" t="s">
        <v>1606</v>
      </c>
      <c r="D235">
        <v>1</v>
      </c>
      <c r="E235">
        <v>-34.089587265399899</v>
      </c>
      <c r="F235">
        <v>20.488835791300001</v>
      </c>
      <c r="G235">
        <v>108.18419663500001</v>
      </c>
      <c r="H235" t="s">
        <v>1487</v>
      </c>
      <c r="I235" t="s">
        <v>1191</v>
      </c>
    </row>
    <row r="236" spans="1:9" x14ac:dyDescent="0.3">
      <c r="A236">
        <v>100793</v>
      </c>
      <c r="B236" t="s">
        <v>1607</v>
      </c>
      <c r="C236" t="s">
        <v>1607</v>
      </c>
      <c r="D236">
        <v>0</v>
      </c>
      <c r="E236">
        <v>-33.273150127199898</v>
      </c>
      <c r="F236">
        <v>21.099679181900001</v>
      </c>
      <c r="G236">
        <v>3391.8730017600001</v>
      </c>
      <c r="H236" t="s">
        <v>1487</v>
      </c>
      <c r="I236" t="s">
        <v>1191</v>
      </c>
    </row>
    <row r="237" spans="1:9" x14ac:dyDescent="0.3">
      <c r="A237">
        <v>100795</v>
      </c>
      <c r="B237" t="s">
        <v>1608</v>
      </c>
      <c r="C237" t="s">
        <v>1608</v>
      </c>
      <c r="D237">
        <v>0</v>
      </c>
      <c r="E237">
        <v>-24.0579772693</v>
      </c>
      <c r="F237">
        <v>31.3711598083</v>
      </c>
      <c r="G237">
        <v>25701.029123600001</v>
      </c>
      <c r="H237" t="s">
        <v>1487</v>
      </c>
      <c r="I237" t="s">
        <v>1191</v>
      </c>
    </row>
    <row r="238" spans="1:9" x14ac:dyDescent="0.3">
      <c r="A238">
        <v>100803</v>
      </c>
      <c r="B238" t="s">
        <v>1609</v>
      </c>
      <c r="C238" t="s">
        <v>1609</v>
      </c>
      <c r="D238">
        <v>1</v>
      </c>
      <c r="E238">
        <v>-33.433110257000003</v>
      </c>
      <c r="F238">
        <v>19.543358094199899</v>
      </c>
      <c r="G238">
        <v>728.19097675600005</v>
      </c>
      <c r="H238" t="s">
        <v>1487</v>
      </c>
      <c r="I238" t="s">
        <v>1191</v>
      </c>
    </row>
    <row r="239" spans="1:9" x14ac:dyDescent="0.3">
      <c r="A239">
        <v>100807</v>
      </c>
      <c r="B239" t="s">
        <v>1610</v>
      </c>
      <c r="C239" t="s">
        <v>1610</v>
      </c>
      <c r="D239">
        <v>0</v>
      </c>
      <c r="E239">
        <v>-30.073461947199899</v>
      </c>
      <c r="F239">
        <v>30.7475834273</v>
      </c>
      <c r="G239">
        <v>92.588514594200007</v>
      </c>
      <c r="H239" t="s">
        <v>1487</v>
      </c>
      <c r="I239" t="s">
        <v>1191</v>
      </c>
    </row>
    <row r="240" spans="1:9" x14ac:dyDescent="0.3">
      <c r="A240">
        <v>100810</v>
      </c>
      <c r="B240" t="s">
        <v>1611</v>
      </c>
      <c r="C240" t="s">
        <v>1611</v>
      </c>
      <c r="D240">
        <v>0</v>
      </c>
      <c r="E240">
        <v>-29.7389530202</v>
      </c>
      <c r="F240">
        <v>30.644271751800002</v>
      </c>
      <c r="G240">
        <v>82.0851950303</v>
      </c>
      <c r="H240" t="s">
        <v>1487</v>
      </c>
      <c r="I240" t="s">
        <v>1191</v>
      </c>
    </row>
    <row r="241" spans="1:9" x14ac:dyDescent="0.3">
      <c r="A241">
        <v>100812</v>
      </c>
      <c r="B241" t="s">
        <v>1612</v>
      </c>
      <c r="C241" t="s">
        <v>1612</v>
      </c>
      <c r="D241">
        <v>1</v>
      </c>
      <c r="E241">
        <v>-27.761765809300002</v>
      </c>
      <c r="F241">
        <v>32.468784505800002</v>
      </c>
      <c r="G241">
        <v>3621.91415305999</v>
      </c>
      <c r="H241" t="s">
        <v>1487</v>
      </c>
      <c r="I241" t="s">
        <v>1191</v>
      </c>
    </row>
    <row r="242" spans="1:9" x14ac:dyDescent="0.3">
      <c r="A242">
        <v>100813</v>
      </c>
      <c r="B242" t="s">
        <v>1613</v>
      </c>
      <c r="C242" t="s">
        <v>1613</v>
      </c>
      <c r="D242">
        <v>1</v>
      </c>
      <c r="E242">
        <v>-33.7843929772</v>
      </c>
      <c r="F242">
        <v>18.7744319612999</v>
      </c>
      <c r="G242">
        <v>46.042231383599898</v>
      </c>
      <c r="H242" t="s">
        <v>1487</v>
      </c>
      <c r="I242" t="s">
        <v>1191</v>
      </c>
    </row>
    <row r="243" spans="1:9" x14ac:dyDescent="0.3">
      <c r="A243">
        <v>100815</v>
      </c>
      <c r="B243" t="s">
        <v>1614</v>
      </c>
      <c r="C243" t="s">
        <v>1614</v>
      </c>
      <c r="D243">
        <v>0</v>
      </c>
      <c r="E243">
        <v>-28.673079128000001</v>
      </c>
      <c r="F243">
        <v>24.760941114800001</v>
      </c>
      <c r="G243">
        <v>11.700836257000001</v>
      </c>
      <c r="H243" t="s">
        <v>1487</v>
      </c>
      <c r="I243" t="s">
        <v>1191</v>
      </c>
    </row>
    <row r="244" spans="1:9" x14ac:dyDescent="0.3">
      <c r="A244">
        <v>100816</v>
      </c>
      <c r="B244" t="s">
        <v>1615</v>
      </c>
      <c r="C244" t="s">
        <v>1615</v>
      </c>
      <c r="D244">
        <v>1</v>
      </c>
      <c r="E244">
        <v>-30.290277017600001</v>
      </c>
      <c r="F244">
        <v>18.075442724599899</v>
      </c>
      <c r="G244">
        <v>806.84272601299904</v>
      </c>
      <c r="H244" t="s">
        <v>1487</v>
      </c>
      <c r="I244" t="s">
        <v>1191</v>
      </c>
    </row>
    <row r="245" spans="1:9" x14ac:dyDescent="0.3">
      <c r="A245">
        <v>100820</v>
      </c>
      <c r="B245" t="s">
        <v>1616</v>
      </c>
      <c r="C245" t="s">
        <v>1616</v>
      </c>
      <c r="D245">
        <v>0</v>
      </c>
      <c r="E245">
        <v>-32.498108298399899</v>
      </c>
      <c r="F245">
        <v>27.974356917000001</v>
      </c>
      <c r="G245">
        <v>146.328064296999</v>
      </c>
      <c r="H245" t="s">
        <v>1487</v>
      </c>
      <c r="I245" t="s">
        <v>1191</v>
      </c>
    </row>
    <row r="246" spans="1:9" x14ac:dyDescent="0.3">
      <c r="A246">
        <v>100825</v>
      </c>
      <c r="B246" t="s">
        <v>1617</v>
      </c>
      <c r="C246" t="s">
        <v>1617</v>
      </c>
      <c r="D246">
        <v>1</v>
      </c>
      <c r="E246">
        <v>-31.286204828700001</v>
      </c>
      <c r="F246">
        <v>18.567666462199899</v>
      </c>
      <c r="G246">
        <v>6451.91892938</v>
      </c>
      <c r="H246" t="s">
        <v>1487</v>
      </c>
      <c r="I246" t="s">
        <v>1191</v>
      </c>
    </row>
    <row r="247" spans="1:9" x14ac:dyDescent="0.3">
      <c r="A247">
        <v>100826</v>
      </c>
      <c r="B247" t="s">
        <v>1618</v>
      </c>
      <c r="C247" t="s">
        <v>1618</v>
      </c>
      <c r="D247">
        <v>1</v>
      </c>
      <c r="E247">
        <v>-34.2377436746999</v>
      </c>
      <c r="F247">
        <v>19.0025253425</v>
      </c>
      <c r="G247">
        <v>630.52641416200004</v>
      </c>
      <c r="H247" t="s">
        <v>1487</v>
      </c>
      <c r="I247" t="s">
        <v>1191</v>
      </c>
    </row>
    <row r="248" spans="1:9" x14ac:dyDescent="0.3">
      <c r="A248">
        <v>100828</v>
      </c>
      <c r="B248" t="s">
        <v>1619</v>
      </c>
      <c r="C248" t="s">
        <v>1619</v>
      </c>
      <c r="D248">
        <v>0</v>
      </c>
      <c r="E248">
        <v>-33.052023022699899</v>
      </c>
      <c r="F248">
        <v>18.664761808600002</v>
      </c>
      <c r="G248">
        <v>31.6525366939</v>
      </c>
      <c r="H248" t="s">
        <v>1487</v>
      </c>
      <c r="I248" t="s">
        <v>1191</v>
      </c>
    </row>
    <row r="249" spans="1:9" x14ac:dyDescent="0.3">
      <c r="A249">
        <v>100830</v>
      </c>
      <c r="B249" t="s">
        <v>1620</v>
      </c>
      <c r="C249" t="s">
        <v>1620</v>
      </c>
      <c r="D249">
        <v>0</v>
      </c>
      <c r="E249">
        <v>-28.1639088177999</v>
      </c>
      <c r="F249">
        <v>29.652199440899899</v>
      </c>
      <c r="G249">
        <v>2496.3361519099899</v>
      </c>
      <c r="H249" t="s">
        <v>1487</v>
      </c>
      <c r="I249" t="s">
        <v>1191</v>
      </c>
    </row>
    <row r="250" spans="1:9" x14ac:dyDescent="0.3">
      <c r="A250">
        <v>100834</v>
      </c>
      <c r="B250" t="s">
        <v>1621</v>
      </c>
      <c r="C250" t="s">
        <v>1621</v>
      </c>
      <c r="D250">
        <v>1</v>
      </c>
      <c r="E250">
        <v>-33.626548270999898</v>
      </c>
      <c r="F250">
        <v>19.7730230459</v>
      </c>
      <c r="G250">
        <v>806.78018482200002</v>
      </c>
      <c r="H250" t="s">
        <v>1487</v>
      </c>
      <c r="I250" t="s">
        <v>1191</v>
      </c>
    </row>
    <row r="251" spans="1:9" x14ac:dyDescent="0.3">
      <c r="A251">
        <v>100836</v>
      </c>
      <c r="B251" t="s">
        <v>1622</v>
      </c>
      <c r="C251" t="s">
        <v>1622</v>
      </c>
      <c r="D251">
        <v>1</v>
      </c>
      <c r="E251">
        <v>-33.841226974599898</v>
      </c>
      <c r="F251">
        <v>24.263828644699899</v>
      </c>
      <c r="G251">
        <v>2010.72366697999</v>
      </c>
      <c r="H251" t="s">
        <v>1487</v>
      </c>
      <c r="I251" t="s">
        <v>1191</v>
      </c>
    </row>
    <row r="252" spans="1:9" x14ac:dyDescent="0.3">
      <c r="A252">
        <v>100840</v>
      </c>
      <c r="B252" t="s">
        <v>1623</v>
      </c>
      <c r="C252" t="s">
        <v>1623</v>
      </c>
      <c r="D252">
        <v>0</v>
      </c>
      <c r="E252">
        <v>-25.4387824456999</v>
      </c>
      <c r="F252">
        <v>29.044605203500002</v>
      </c>
      <c r="G252">
        <v>3179.8425229499899</v>
      </c>
      <c r="H252" t="s">
        <v>1487</v>
      </c>
      <c r="I252" t="s">
        <v>1191</v>
      </c>
    </row>
    <row r="253" spans="1:9" x14ac:dyDescent="0.3">
      <c r="A253">
        <v>100841</v>
      </c>
      <c r="B253" t="s">
        <v>1624</v>
      </c>
      <c r="C253" t="s">
        <v>1624</v>
      </c>
      <c r="D253">
        <v>1</v>
      </c>
      <c r="E253">
        <v>-34.088145429199898</v>
      </c>
      <c r="F253">
        <v>18.913414346100001</v>
      </c>
      <c r="G253">
        <v>76.2515022499</v>
      </c>
      <c r="H253" t="s">
        <v>1487</v>
      </c>
      <c r="I253" t="s">
        <v>1191</v>
      </c>
    </row>
    <row r="254" spans="1:9" x14ac:dyDescent="0.3">
      <c r="A254">
        <v>100843</v>
      </c>
      <c r="B254" t="s">
        <v>1625</v>
      </c>
      <c r="C254" t="s">
        <v>1625</v>
      </c>
      <c r="D254">
        <v>0</v>
      </c>
      <c r="E254">
        <v>-29.755365210600001</v>
      </c>
      <c r="F254">
        <v>30.8879955319</v>
      </c>
      <c r="G254">
        <v>64.321943603899896</v>
      </c>
      <c r="H254" t="s">
        <v>1487</v>
      </c>
      <c r="I254" t="s">
        <v>1191</v>
      </c>
    </row>
    <row r="255" spans="1:9" x14ac:dyDescent="0.3">
      <c r="A255">
        <v>100845</v>
      </c>
      <c r="B255" t="s">
        <v>1626</v>
      </c>
      <c r="C255" t="s">
        <v>1626</v>
      </c>
      <c r="D255">
        <v>0</v>
      </c>
      <c r="E255">
        <v>-25.787374891300001</v>
      </c>
      <c r="F255">
        <v>27.2756723868</v>
      </c>
      <c r="G255">
        <v>1515.11058694999</v>
      </c>
      <c r="H255" t="s">
        <v>1487</v>
      </c>
      <c r="I255" t="s">
        <v>1191</v>
      </c>
    </row>
    <row r="256" spans="1:9" x14ac:dyDescent="0.3">
      <c r="A256">
        <v>100848</v>
      </c>
      <c r="B256" t="s">
        <v>1627</v>
      </c>
      <c r="C256" t="s">
        <v>1627</v>
      </c>
      <c r="D256">
        <v>0</v>
      </c>
      <c r="E256">
        <v>-24.171608936799899</v>
      </c>
      <c r="F256">
        <v>29.1429675724</v>
      </c>
      <c r="G256">
        <v>909.30838590999895</v>
      </c>
      <c r="H256" t="s">
        <v>1487</v>
      </c>
      <c r="I256" t="s">
        <v>1191</v>
      </c>
    </row>
    <row r="257" spans="1:9" x14ac:dyDescent="0.3">
      <c r="A257">
        <v>100849</v>
      </c>
      <c r="B257" t="s">
        <v>1628</v>
      </c>
      <c r="C257" t="s">
        <v>1628</v>
      </c>
      <c r="D257">
        <v>0</v>
      </c>
      <c r="E257">
        <v>-33.4392209146</v>
      </c>
      <c r="F257">
        <v>18.723133271399899</v>
      </c>
      <c r="G257">
        <v>24.143703014100002</v>
      </c>
      <c r="H257" t="s">
        <v>1487</v>
      </c>
      <c r="I257" t="s">
        <v>1191</v>
      </c>
    </row>
    <row r="258" spans="1:9" x14ac:dyDescent="0.3">
      <c r="A258">
        <v>100860</v>
      </c>
      <c r="B258" t="s">
        <v>1629</v>
      </c>
      <c r="C258" t="s">
        <v>1629</v>
      </c>
      <c r="D258">
        <v>0</v>
      </c>
      <c r="E258">
        <v>-29.5008463281</v>
      </c>
      <c r="F258">
        <v>29.8630078413</v>
      </c>
      <c r="G258">
        <v>728.48045223500003</v>
      </c>
      <c r="H258" t="s">
        <v>1487</v>
      </c>
      <c r="I258" t="s">
        <v>1191</v>
      </c>
    </row>
    <row r="259" spans="1:9" x14ac:dyDescent="0.3">
      <c r="A259">
        <v>100862</v>
      </c>
      <c r="B259" t="s">
        <v>1630</v>
      </c>
      <c r="C259" t="s">
        <v>1630</v>
      </c>
      <c r="D259">
        <v>0</v>
      </c>
      <c r="E259">
        <v>-29.907139843700001</v>
      </c>
      <c r="F259">
        <v>30.946704268200001</v>
      </c>
      <c r="G259">
        <v>5.5495339244700004</v>
      </c>
      <c r="H259" t="s">
        <v>1487</v>
      </c>
      <c r="I259" t="s">
        <v>1191</v>
      </c>
    </row>
    <row r="260" spans="1:9" x14ac:dyDescent="0.3">
      <c r="A260">
        <v>100863</v>
      </c>
      <c r="B260" t="s">
        <v>1631</v>
      </c>
      <c r="C260" t="s">
        <v>1631</v>
      </c>
      <c r="D260">
        <v>0</v>
      </c>
      <c r="E260">
        <v>-29.525558728299899</v>
      </c>
      <c r="F260">
        <v>30.201938457699899</v>
      </c>
      <c r="G260">
        <v>88.222049275200007</v>
      </c>
      <c r="H260" t="s">
        <v>1487</v>
      </c>
      <c r="I260" t="s">
        <v>1191</v>
      </c>
    </row>
    <row r="261" spans="1:9" x14ac:dyDescent="0.3">
      <c r="A261">
        <v>100865</v>
      </c>
      <c r="B261" t="s">
        <v>1632</v>
      </c>
      <c r="C261" t="s">
        <v>1632</v>
      </c>
      <c r="D261">
        <v>0</v>
      </c>
      <c r="E261">
        <v>-29.946036011499899</v>
      </c>
      <c r="F261">
        <v>30.948629984699899</v>
      </c>
      <c r="G261">
        <v>25.2277799839</v>
      </c>
      <c r="H261" t="s">
        <v>1487</v>
      </c>
      <c r="I261" t="s">
        <v>1191</v>
      </c>
    </row>
    <row r="262" spans="1:9" x14ac:dyDescent="0.3">
      <c r="A262">
        <v>100866</v>
      </c>
      <c r="B262" t="s">
        <v>1633</v>
      </c>
      <c r="C262" t="s">
        <v>1633</v>
      </c>
      <c r="D262">
        <v>0</v>
      </c>
      <c r="E262">
        <v>-29.1500297547</v>
      </c>
      <c r="F262">
        <v>30.032481802</v>
      </c>
      <c r="G262">
        <v>570.43736444900003</v>
      </c>
      <c r="H262" t="s">
        <v>1487</v>
      </c>
      <c r="I262" t="s">
        <v>1191</v>
      </c>
    </row>
    <row r="263" spans="1:9" x14ac:dyDescent="0.3">
      <c r="A263">
        <v>100870</v>
      </c>
      <c r="B263" t="s">
        <v>1634</v>
      </c>
      <c r="C263" t="s">
        <v>1634</v>
      </c>
      <c r="D263">
        <v>0</v>
      </c>
      <c r="E263">
        <v>-29.704173587300001</v>
      </c>
      <c r="F263">
        <v>30.455194886000001</v>
      </c>
      <c r="G263">
        <v>15.1638770113</v>
      </c>
      <c r="H263" t="s">
        <v>1487</v>
      </c>
      <c r="I263" t="s">
        <v>1191</v>
      </c>
    </row>
    <row r="264" spans="1:9" x14ac:dyDescent="0.3">
      <c r="A264">
        <v>100875</v>
      </c>
      <c r="B264" t="s">
        <v>1635</v>
      </c>
      <c r="C264" t="s">
        <v>1635</v>
      </c>
      <c r="D264">
        <v>0</v>
      </c>
      <c r="E264">
        <v>-30.6137167595999</v>
      </c>
      <c r="F264">
        <v>30.5427717817999</v>
      </c>
      <c r="G264">
        <v>4.9670367307800003</v>
      </c>
      <c r="H264" t="s">
        <v>1487</v>
      </c>
      <c r="I264" t="s">
        <v>1191</v>
      </c>
    </row>
    <row r="265" spans="1:9" x14ac:dyDescent="0.3">
      <c r="A265">
        <v>100878</v>
      </c>
      <c r="B265" t="s">
        <v>1636</v>
      </c>
      <c r="C265" t="s">
        <v>1636</v>
      </c>
      <c r="D265">
        <v>0</v>
      </c>
      <c r="E265">
        <v>-29.625096375799899</v>
      </c>
      <c r="F265">
        <v>17.760104724400001</v>
      </c>
      <c r="G265">
        <v>6053.9282383600003</v>
      </c>
      <c r="H265" t="s">
        <v>1487</v>
      </c>
      <c r="I265" t="s">
        <v>1191</v>
      </c>
    </row>
    <row r="266" spans="1:9" x14ac:dyDescent="0.3">
      <c r="A266">
        <v>100879</v>
      </c>
      <c r="B266" t="s">
        <v>1637</v>
      </c>
      <c r="C266" t="s">
        <v>1637</v>
      </c>
      <c r="D266">
        <v>0</v>
      </c>
      <c r="E266">
        <v>-30.4723577392</v>
      </c>
      <c r="F266">
        <v>18.094583585900001</v>
      </c>
      <c r="G266">
        <v>8421.0965976900006</v>
      </c>
      <c r="H266" t="s">
        <v>1487</v>
      </c>
      <c r="I266" t="s">
        <v>1191</v>
      </c>
    </row>
    <row r="267" spans="1:9" x14ac:dyDescent="0.3">
      <c r="A267">
        <v>100883</v>
      </c>
      <c r="B267" t="s">
        <v>1638</v>
      </c>
      <c r="C267" t="s">
        <v>1638</v>
      </c>
      <c r="D267">
        <v>0</v>
      </c>
      <c r="E267">
        <v>-33.9164189112999</v>
      </c>
      <c r="F267">
        <v>25.396600151600001</v>
      </c>
      <c r="G267">
        <v>712.72654630299905</v>
      </c>
      <c r="H267" t="s">
        <v>1487</v>
      </c>
      <c r="I267" t="s">
        <v>1191</v>
      </c>
    </row>
    <row r="268" spans="1:9" x14ac:dyDescent="0.3">
      <c r="A268">
        <v>100884</v>
      </c>
      <c r="B268" t="s">
        <v>1639</v>
      </c>
      <c r="C268" t="s">
        <v>1639</v>
      </c>
      <c r="D268">
        <v>1</v>
      </c>
      <c r="E268">
        <v>-33.689599446000003</v>
      </c>
      <c r="F268">
        <v>25.568315727800002</v>
      </c>
      <c r="G268">
        <v>777.29891410300002</v>
      </c>
      <c r="H268" t="s">
        <v>1487</v>
      </c>
      <c r="I268" t="s">
        <v>1191</v>
      </c>
    </row>
    <row r="269" spans="1:9" x14ac:dyDescent="0.3">
      <c r="A269">
        <v>100891</v>
      </c>
      <c r="B269" t="s">
        <v>1640</v>
      </c>
      <c r="C269" t="s">
        <v>1640</v>
      </c>
      <c r="D269">
        <v>0</v>
      </c>
      <c r="E269">
        <v>-33.163679099500001</v>
      </c>
      <c r="F269">
        <v>27.305139840100001</v>
      </c>
      <c r="G269">
        <v>246.302043655999</v>
      </c>
      <c r="H269" t="s">
        <v>1487</v>
      </c>
      <c r="I269" t="s">
        <v>1191</v>
      </c>
    </row>
    <row r="270" spans="1:9" x14ac:dyDescent="0.3">
      <c r="A270">
        <v>100896</v>
      </c>
      <c r="B270" t="s">
        <v>1641</v>
      </c>
      <c r="C270" t="s">
        <v>1641</v>
      </c>
      <c r="D270">
        <v>0</v>
      </c>
      <c r="E270">
        <v>-28.903653618500002</v>
      </c>
      <c r="F270">
        <v>31.887308656599899</v>
      </c>
      <c r="G270">
        <v>245.472223517999</v>
      </c>
      <c r="H270" t="s">
        <v>1487</v>
      </c>
      <c r="I270" t="s">
        <v>1191</v>
      </c>
    </row>
    <row r="271" spans="1:9" x14ac:dyDescent="0.3">
      <c r="A271">
        <v>100898</v>
      </c>
      <c r="B271" t="s">
        <v>1642</v>
      </c>
      <c r="C271" t="s">
        <v>1642</v>
      </c>
      <c r="D271">
        <v>1</v>
      </c>
      <c r="E271">
        <v>-32.567665680200001</v>
      </c>
      <c r="F271">
        <v>18.8109337026</v>
      </c>
      <c r="G271">
        <v>200.69845851700001</v>
      </c>
      <c r="H271" t="s">
        <v>1487</v>
      </c>
      <c r="I271" t="s">
        <v>1191</v>
      </c>
    </row>
    <row r="272" spans="1:9" x14ac:dyDescent="0.3">
      <c r="A272">
        <v>100899</v>
      </c>
      <c r="B272" t="s">
        <v>1643</v>
      </c>
      <c r="C272" t="s">
        <v>1643</v>
      </c>
      <c r="D272">
        <v>0</v>
      </c>
      <c r="E272">
        <v>-29.293324742300001</v>
      </c>
      <c r="F272">
        <v>30.078758694600001</v>
      </c>
      <c r="G272">
        <v>157.869739070999</v>
      </c>
      <c r="H272" t="s">
        <v>1487</v>
      </c>
      <c r="I272" t="s">
        <v>1191</v>
      </c>
    </row>
    <row r="273" spans="1:9" x14ac:dyDescent="0.3">
      <c r="A273">
        <v>100906</v>
      </c>
      <c r="B273" t="s">
        <v>1644</v>
      </c>
      <c r="C273" t="s">
        <v>1644</v>
      </c>
      <c r="D273">
        <v>0</v>
      </c>
      <c r="E273">
        <v>-32.507100396299897</v>
      </c>
      <c r="F273">
        <v>18.893492010300001</v>
      </c>
      <c r="G273">
        <v>564.79949946700003</v>
      </c>
      <c r="H273" t="s">
        <v>1487</v>
      </c>
      <c r="I273" t="s">
        <v>1191</v>
      </c>
    </row>
    <row r="274" spans="1:9" x14ac:dyDescent="0.3">
      <c r="A274">
        <v>100909</v>
      </c>
      <c r="B274" t="s">
        <v>1645</v>
      </c>
      <c r="C274" t="s">
        <v>1645</v>
      </c>
      <c r="D274">
        <v>0</v>
      </c>
      <c r="E274">
        <v>-30.678848390799899</v>
      </c>
      <c r="F274">
        <v>30.298304717000001</v>
      </c>
      <c r="G274">
        <v>145.672587526</v>
      </c>
      <c r="H274" t="s">
        <v>1487</v>
      </c>
      <c r="I274" t="s">
        <v>1191</v>
      </c>
    </row>
    <row r="275" spans="1:9" x14ac:dyDescent="0.3">
      <c r="A275">
        <v>100912</v>
      </c>
      <c r="B275" t="s">
        <v>1646</v>
      </c>
      <c r="C275" t="s">
        <v>1646</v>
      </c>
      <c r="D275">
        <v>1</v>
      </c>
      <c r="E275">
        <v>-33.739753390799898</v>
      </c>
      <c r="F275">
        <v>18.914016168100002</v>
      </c>
      <c r="G275">
        <v>81.263071194399899</v>
      </c>
      <c r="H275" t="s">
        <v>1487</v>
      </c>
      <c r="I275" t="s">
        <v>1191</v>
      </c>
    </row>
    <row r="276" spans="1:9" x14ac:dyDescent="0.3">
      <c r="A276">
        <v>100913</v>
      </c>
      <c r="B276" t="s">
        <v>1647</v>
      </c>
      <c r="C276" t="s">
        <v>1647</v>
      </c>
      <c r="D276">
        <v>0</v>
      </c>
      <c r="E276">
        <v>-29.8649324103</v>
      </c>
      <c r="F276">
        <v>30.933817221000002</v>
      </c>
      <c r="G276">
        <v>18.586800082</v>
      </c>
      <c r="H276" t="s">
        <v>1487</v>
      </c>
      <c r="I276" t="s">
        <v>1191</v>
      </c>
    </row>
    <row r="277" spans="1:9" x14ac:dyDescent="0.3">
      <c r="A277">
        <v>100917</v>
      </c>
      <c r="B277" t="s">
        <v>1648</v>
      </c>
      <c r="C277" t="s">
        <v>1648</v>
      </c>
      <c r="D277">
        <v>0</v>
      </c>
      <c r="E277">
        <v>-23.941674320400001</v>
      </c>
      <c r="F277">
        <v>29.539404643000001</v>
      </c>
      <c r="G277">
        <v>308.526465078</v>
      </c>
      <c r="H277" t="s">
        <v>1487</v>
      </c>
      <c r="I277" t="s">
        <v>1191</v>
      </c>
    </row>
    <row r="278" spans="1:9" x14ac:dyDescent="0.3">
      <c r="A278">
        <v>100919</v>
      </c>
      <c r="B278" t="s">
        <v>1649</v>
      </c>
      <c r="C278" t="s">
        <v>1649</v>
      </c>
      <c r="D278">
        <v>0</v>
      </c>
      <c r="E278">
        <v>-27.459367412799899</v>
      </c>
      <c r="F278">
        <v>31.9049778428999</v>
      </c>
      <c r="G278">
        <v>1213.6853996499899</v>
      </c>
      <c r="H278" t="s">
        <v>1487</v>
      </c>
      <c r="I278" t="s">
        <v>1191</v>
      </c>
    </row>
    <row r="279" spans="1:9" x14ac:dyDescent="0.3">
      <c r="A279">
        <v>100926</v>
      </c>
      <c r="B279" t="s">
        <v>1650</v>
      </c>
      <c r="C279" t="s">
        <v>1650</v>
      </c>
      <c r="D279">
        <v>0</v>
      </c>
      <c r="E279">
        <v>-25.889678675500001</v>
      </c>
      <c r="F279">
        <v>28.272062587099899</v>
      </c>
      <c r="G279">
        <v>96.390682248399898</v>
      </c>
      <c r="H279" t="s">
        <v>1487</v>
      </c>
      <c r="I279" t="s">
        <v>1191</v>
      </c>
    </row>
    <row r="280" spans="1:9" x14ac:dyDescent="0.3">
      <c r="A280">
        <v>100930</v>
      </c>
      <c r="B280" t="s">
        <v>1651</v>
      </c>
      <c r="C280" t="s">
        <v>1651</v>
      </c>
      <c r="D280">
        <v>0</v>
      </c>
      <c r="E280">
        <v>-33.9422556118</v>
      </c>
      <c r="F280">
        <v>18.4818584615</v>
      </c>
      <c r="G280">
        <v>1.7776117673</v>
      </c>
      <c r="H280" t="s">
        <v>1487</v>
      </c>
      <c r="I280" t="s">
        <v>1191</v>
      </c>
    </row>
    <row r="281" spans="1:9" x14ac:dyDescent="0.3">
      <c r="A281">
        <v>100932</v>
      </c>
      <c r="B281" t="s">
        <v>1652</v>
      </c>
      <c r="C281" t="s">
        <v>1652</v>
      </c>
      <c r="D281">
        <v>0</v>
      </c>
      <c r="E281">
        <v>-29.835082123500001</v>
      </c>
      <c r="F281">
        <v>30.6800807969</v>
      </c>
      <c r="G281">
        <v>64.545045650999896</v>
      </c>
      <c r="H281" t="s">
        <v>1487</v>
      </c>
      <c r="I281" t="s">
        <v>1191</v>
      </c>
    </row>
    <row r="282" spans="1:9" x14ac:dyDescent="0.3">
      <c r="A282">
        <v>100937</v>
      </c>
      <c r="B282" t="s">
        <v>1653</v>
      </c>
      <c r="C282" t="s">
        <v>1653</v>
      </c>
      <c r="D282">
        <v>1</v>
      </c>
      <c r="E282">
        <v>-29.0811929222</v>
      </c>
      <c r="F282">
        <v>17.3561606785</v>
      </c>
      <c r="G282">
        <v>4151.4112251500001</v>
      </c>
      <c r="H282" t="s">
        <v>1487</v>
      </c>
      <c r="I282" t="s">
        <v>1191</v>
      </c>
    </row>
    <row r="283" spans="1:9" x14ac:dyDescent="0.3">
      <c r="A283">
        <v>100938</v>
      </c>
      <c r="B283" t="s">
        <v>1654</v>
      </c>
      <c r="C283" t="s">
        <v>1654</v>
      </c>
      <c r="D283">
        <v>0</v>
      </c>
      <c r="E283">
        <v>-22.838941324499899</v>
      </c>
      <c r="F283">
        <v>30.1324760171</v>
      </c>
      <c r="G283">
        <v>4040.0687475200002</v>
      </c>
      <c r="H283" t="s">
        <v>1487</v>
      </c>
      <c r="I283" t="s">
        <v>1191</v>
      </c>
    </row>
    <row r="284" spans="1:9" x14ac:dyDescent="0.3">
      <c r="A284">
        <v>100941</v>
      </c>
      <c r="B284" t="s">
        <v>1655</v>
      </c>
      <c r="C284" t="s">
        <v>1655</v>
      </c>
      <c r="D284">
        <v>1</v>
      </c>
      <c r="E284">
        <v>-25.4929302426</v>
      </c>
      <c r="F284">
        <v>30.193514712900001</v>
      </c>
      <c r="G284">
        <v>3031.8170520600002</v>
      </c>
      <c r="H284" t="s">
        <v>1487</v>
      </c>
      <c r="I284" t="s">
        <v>1191</v>
      </c>
    </row>
    <row r="285" spans="1:9" x14ac:dyDescent="0.3">
      <c r="A285">
        <v>100946</v>
      </c>
      <c r="B285" t="s">
        <v>1656</v>
      </c>
      <c r="C285" t="s">
        <v>1656</v>
      </c>
      <c r="D285">
        <v>0</v>
      </c>
      <c r="E285">
        <v>-34.035864277999899</v>
      </c>
      <c r="F285">
        <v>20.1270561872999</v>
      </c>
      <c r="G285">
        <v>183.09931818499899</v>
      </c>
      <c r="H285" t="s">
        <v>1487</v>
      </c>
      <c r="I285" t="s">
        <v>1191</v>
      </c>
    </row>
    <row r="286" spans="1:9" x14ac:dyDescent="0.3">
      <c r="A286">
        <v>100950</v>
      </c>
      <c r="B286" t="s">
        <v>1657</v>
      </c>
      <c r="C286" t="s">
        <v>1657</v>
      </c>
      <c r="D286">
        <v>0</v>
      </c>
      <c r="E286">
        <v>-33.837707029000001</v>
      </c>
      <c r="F286">
        <v>25.575499144399899</v>
      </c>
      <c r="G286">
        <v>42.764910056300003</v>
      </c>
      <c r="H286" t="s">
        <v>1487</v>
      </c>
      <c r="I286" t="s">
        <v>1191</v>
      </c>
    </row>
    <row r="287" spans="1:9" x14ac:dyDescent="0.3">
      <c r="A287">
        <v>100953</v>
      </c>
      <c r="B287" t="s">
        <v>1658</v>
      </c>
      <c r="C287" t="s">
        <v>1658</v>
      </c>
      <c r="D287">
        <v>1</v>
      </c>
      <c r="E287">
        <v>-34.189038870700003</v>
      </c>
      <c r="F287">
        <v>18.3880065653</v>
      </c>
      <c r="G287">
        <v>1290.4602108399899</v>
      </c>
      <c r="H287" t="s">
        <v>1487</v>
      </c>
      <c r="I287" t="s">
        <v>1191</v>
      </c>
    </row>
    <row r="288" spans="1:9" x14ac:dyDescent="0.3">
      <c r="A288">
        <v>100955</v>
      </c>
      <c r="B288" t="s">
        <v>1659</v>
      </c>
      <c r="C288" t="s">
        <v>1659</v>
      </c>
      <c r="D288">
        <v>0</v>
      </c>
      <c r="E288">
        <v>-27.7974158393999</v>
      </c>
      <c r="F288">
        <v>32.055156393300003</v>
      </c>
      <c r="G288">
        <v>503.25448615499897</v>
      </c>
      <c r="H288" t="s">
        <v>1487</v>
      </c>
      <c r="I288" t="s">
        <v>1191</v>
      </c>
    </row>
    <row r="289" spans="1:9" x14ac:dyDescent="0.3">
      <c r="A289">
        <v>100957</v>
      </c>
      <c r="B289" t="s">
        <v>1660</v>
      </c>
      <c r="C289" t="s">
        <v>1660</v>
      </c>
      <c r="D289">
        <v>0</v>
      </c>
      <c r="E289">
        <v>-33.2601226178</v>
      </c>
      <c r="F289">
        <v>19.9927954208</v>
      </c>
      <c r="G289">
        <v>1118.3576453099899</v>
      </c>
      <c r="H289" t="s">
        <v>1487</v>
      </c>
      <c r="I289" t="s">
        <v>1191</v>
      </c>
    </row>
    <row r="290" spans="1:9" x14ac:dyDescent="0.3">
      <c r="A290">
        <v>100960</v>
      </c>
      <c r="B290" t="s">
        <v>1661</v>
      </c>
      <c r="C290" t="s">
        <v>1661</v>
      </c>
      <c r="D290">
        <v>1</v>
      </c>
      <c r="E290">
        <v>-28.829567705799899</v>
      </c>
      <c r="F290">
        <v>29.9167048935</v>
      </c>
      <c r="G290">
        <v>2104.8755549799898</v>
      </c>
      <c r="H290" t="s">
        <v>1487</v>
      </c>
      <c r="I290" t="s">
        <v>1191</v>
      </c>
    </row>
    <row r="291" spans="1:9" x14ac:dyDescent="0.3">
      <c r="A291">
        <v>100962</v>
      </c>
      <c r="B291" t="s">
        <v>1662</v>
      </c>
      <c r="C291" t="s">
        <v>1662</v>
      </c>
      <c r="D291">
        <v>0</v>
      </c>
      <c r="E291">
        <v>-29.6421217197</v>
      </c>
      <c r="F291">
        <v>31.1129656717</v>
      </c>
      <c r="G291">
        <v>27.334184721900002</v>
      </c>
      <c r="H291" t="s">
        <v>1487</v>
      </c>
      <c r="I291" t="s">
        <v>1191</v>
      </c>
    </row>
    <row r="292" spans="1:9" x14ac:dyDescent="0.3">
      <c r="A292">
        <v>100964</v>
      </c>
      <c r="B292" t="s">
        <v>1663</v>
      </c>
      <c r="C292" t="s">
        <v>1663</v>
      </c>
      <c r="D292">
        <v>0</v>
      </c>
      <c r="E292">
        <v>-30.269625003000002</v>
      </c>
      <c r="F292">
        <v>29.758249819</v>
      </c>
      <c r="G292">
        <v>737.00992138000004</v>
      </c>
      <c r="H292" t="s">
        <v>1487</v>
      </c>
      <c r="I292" t="s">
        <v>1191</v>
      </c>
    </row>
    <row r="293" spans="1:9" x14ac:dyDescent="0.3">
      <c r="A293">
        <v>100967</v>
      </c>
      <c r="B293" t="s">
        <v>1664</v>
      </c>
      <c r="C293" t="s">
        <v>1664</v>
      </c>
      <c r="D293">
        <v>0</v>
      </c>
      <c r="E293">
        <v>-31.800007173200001</v>
      </c>
      <c r="F293">
        <v>22.1429890558999</v>
      </c>
      <c r="G293">
        <v>10109.143154900001</v>
      </c>
      <c r="H293" t="s">
        <v>1487</v>
      </c>
      <c r="I293" t="s">
        <v>1191</v>
      </c>
    </row>
    <row r="294" spans="1:9" x14ac:dyDescent="0.3">
      <c r="A294">
        <v>100979</v>
      </c>
      <c r="B294" t="s">
        <v>1665</v>
      </c>
      <c r="C294" t="s">
        <v>1665</v>
      </c>
      <c r="D294">
        <v>1</v>
      </c>
      <c r="E294">
        <v>-33.236084358699898</v>
      </c>
      <c r="F294">
        <v>18.274353053700001</v>
      </c>
      <c r="G294">
        <v>1905.9736933900001</v>
      </c>
      <c r="H294" t="s">
        <v>1487</v>
      </c>
      <c r="I294" t="s">
        <v>1191</v>
      </c>
    </row>
    <row r="295" spans="1:9" x14ac:dyDescent="0.3">
      <c r="A295">
        <v>100981</v>
      </c>
      <c r="B295" t="s">
        <v>1666</v>
      </c>
      <c r="C295" t="s">
        <v>1666</v>
      </c>
      <c r="D295">
        <v>0</v>
      </c>
      <c r="E295">
        <v>-32.991782326600003</v>
      </c>
      <c r="F295">
        <v>21.1938679448999</v>
      </c>
      <c r="G295">
        <v>3928.82418387999</v>
      </c>
      <c r="H295" t="s">
        <v>1487</v>
      </c>
      <c r="I295" t="s">
        <v>1191</v>
      </c>
    </row>
    <row r="296" spans="1:9" x14ac:dyDescent="0.3">
      <c r="A296">
        <v>100990</v>
      </c>
      <c r="B296" t="s">
        <v>1667</v>
      </c>
      <c r="C296" t="s">
        <v>1667</v>
      </c>
      <c r="D296">
        <v>1</v>
      </c>
      <c r="E296">
        <v>-33.6803534302</v>
      </c>
      <c r="F296">
        <v>19.4251603965999</v>
      </c>
      <c r="G296">
        <v>308.27910282300002</v>
      </c>
      <c r="H296" t="s">
        <v>1487</v>
      </c>
      <c r="I296" t="s">
        <v>1191</v>
      </c>
    </row>
    <row r="297" spans="1:9" x14ac:dyDescent="0.3">
      <c r="A297">
        <v>100991</v>
      </c>
      <c r="B297" t="s">
        <v>1668</v>
      </c>
      <c r="C297" t="s">
        <v>1668</v>
      </c>
      <c r="D297">
        <v>0</v>
      </c>
      <c r="E297">
        <v>-29.5584238482</v>
      </c>
      <c r="F297">
        <v>30.333091960400001</v>
      </c>
      <c r="G297">
        <v>8.0030018748099998</v>
      </c>
      <c r="H297" t="s">
        <v>1487</v>
      </c>
      <c r="I297" t="s">
        <v>1191</v>
      </c>
    </row>
    <row r="298" spans="1:9" x14ac:dyDescent="0.3">
      <c r="A298">
        <v>200503</v>
      </c>
      <c r="B298" t="s">
        <v>1669</v>
      </c>
      <c r="C298" t="s">
        <v>1670</v>
      </c>
      <c r="D298">
        <v>0</v>
      </c>
      <c r="E298">
        <v>0.28999999999999998</v>
      </c>
      <c r="F298">
        <v>25.1999999999999</v>
      </c>
      <c r="G298">
        <v>11273.7</v>
      </c>
      <c r="H298" t="s">
        <v>1351</v>
      </c>
      <c r="I298" t="s">
        <v>667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workbookViewId="0">
      <selection activeCell="D19" sqref="D19"/>
    </sheetView>
  </sheetViews>
  <sheetFormatPr defaultRowHeight="14.4" x14ac:dyDescent="0.3"/>
  <cols>
    <col min="1" max="1" width="31.21875" bestFit="1" customWidth="1"/>
    <col min="2" max="2" width="14.88671875" bestFit="1" customWidth="1"/>
    <col min="4" max="4" width="48.33203125" bestFit="1" customWidth="1"/>
  </cols>
  <sheetData>
    <row r="1" spans="1:4" x14ac:dyDescent="0.3">
      <c r="A1" s="1" t="s">
        <v>1318</v>
      </c>
      <c r="B1" s="1" t="s">
        <v>0</v>
      </c>
      <c r="C1" s="1" t="s">
        <v>1</v>
      </c>
      <c r="D1" s="1" t="s">
        <v>2</v>
      </c>
    </row>
    <row r="2" spans="1:4" x14ac:dyDescent="0.3">
      <c r="A2" t="s">
        <v>1299</v>
      </c>
      <c r="B2">
        <v>8151</v>
      </c>
      <c r="C2" s="1"/>
      <c r="D2" t="s">
        <v>1314</v>
      </c>
    </row>
    <row r="3" spans="1:4" x14ac:dyDescent="0.3">
      <c r="A3" t="s">
        <v>1306</v>
      </c>
      <c r="B3" s="2">
        <v>29278899.096746001</v>
      </c>
      <c r="D3" t="s">
        <v>1317</v>
      </c>
    </row>
    <row r="4" spans="1:4" x14ac:dyDescent="0.3">
      <c r="A4" t="s">
        <v>1304</v>
      </c>
      <c r="B4" s="2">
        <v>5634556.3965999996</v>
      </c>
      <c r="C4" s="3">
        <f>B4/B3</f>
        <v>0.19244427114495616</v>
      </c>
      <c r="D4" t="s">
        <v>3</v>
      </c>
    </row>
    <row r="5" spans="1:4" x14ac:dyDescent="0.3">
      <c r="A5" t="s">
        <v>1305</v>
      </c>
      <c r="B5" s="2">
        <v>327406.26840100001</v>
      </c>
      <c r="C5" s="3">
        <f>B5/B4</f>
        <v>5.8106840247186681E-2</v>
      </c>
      <c r="D5" t="s">
        <v>1303</v>
      </c>
    </row>
    <row r="6" spans="1:4" x14ac:dyDescent="0.3">
      <c r="A6" t="s">
        <v>1300</v>
      </c>
      <c r="B6" s="2">
        <v>1593</v>
      </c>
      <c r="C6" s="3"/>
      <c r="D6" t="s">
        <v>1315</v>
      </c>
    </row>
    <row r="7" spans="1:4" x14ac:dyDescent="0.3">
      <c r="A7" t="s">
        <v>1307</v>
      </c>
      <c r="B7" s="2">
        <v>3066559</v>
      </c>
      <c r="C7" s="3">
        <f>B7/B3</f>
        <v>0.10473614427465995</v>
      </c>
      <c r="D7" t="s">
        <v>1316</v>
      </c>
    </row>
    <row r="8" spans="1:4" x14ac:dyDescent="0.3">
      <c r="A8" t="s">
        <v>1308</v>
      </c>
      <c r="B8" s="2">
        <v>128843.996703</v>
      </c>
      <c r="C8" s="3">
        <f>B8/B10</f>
        <v>0.54905156169064906</v>
      </c>
      <c r="D8" t="s">
        <v>1311</v>
      </c>
    </row>
    <row r="9" spans="1:4" x14ac:dyDescent="0.3">
      <c r="A9" t="s">
        <v>1309</v>
      </c>
      <c r="B9" s="2">
        <v>105822.48217242899</v>
      </c>
      <c r="C9" s="3">
        <f>B9/B10</f>
        <v>0.45094843830935094</v>
      </c>
      <c r="D9" t="s">
        <v>1312</v>
      </c>
    </row>
    <row r="10" spans="1:4" x14ac:dyDescent="0.3">
      <c r="A10" t="s">
        <v>1310</v>
      </c>
      <c r="B10" s="2">
        <f>B8+B9</f>
        <v>234666.47887542899</v>
      </c>
      <c r="C10" s="3">
        <f>B10/B7</f>
        <v>7.6524364564787103E-2</v>
      </c>
      <c r="D10" t="s">
        <v>1313</v>
      </c>
    </row>
    <row r="11" spans="1:4" x14ac:dyDescent="0.3">
      <c r="A11" t="s">
        <v>1298</v>
      </c>
      <c r="B11" s="2">
        <v>697</v>
      </c>
      <c r="C11" s="3">
        <f>B11/B2</f>
        <v>8.5510980247822346E-2</v>
      </c>
      <c r="D11" t="s">
        <v>4</v>
      </c>
    </row>
    <row r="12" spans="1:4" x14ac:dyDescent="0.3">
      <c r="A12" t="s">
        <v>1319</v>
      </c>
      <c r="B12" s="2">
        <v>297</v>
      </c>
      <c r="C12" s="3">
        <f>B12/B6</f>
        <v>0.1864406779661017</v>
      </c>
      <c r="D12" t="s">
        <v>5</v>
      </c>
    </row>
    <row r="13" spans="1:4" x14ac:dyDescent="0.3">
      <c r="A13" t="s">
        <v>1302</v>
      </c>
      <c r="B13" s="2">
        <v>2485</v>
      </c>
      <c r="C13" s="4">
        <f>B13/B2</f>
        <v>0.30487056802846274</v>
      </c>
      <c r="D13" t="s">
        <v>4</v>
      </c>
    </row>
    <row r="14" spans="1:4" x14ac:dyDescent="0.3">
      <c r="A14" t="s">
        <v>1301</v>
      </c>
      <c r="B14" s="2">
        <v>679</v>
      </c>
      <c r="C14" s="3">
        <f>B14/B6</f>
        <v>0.42623979912115506</v>
      </c>
      <c r="D14" t="s">
        <v>5</v>
      </c>
    </row>
    <row r="15" spans="1:4" x14ac:dyDescent="0.3">
      <c r="A15" t="s">
        <v>1320</v>
      </c>
      <c r="B15" s="5">
        <f>(B14-B12)/B12</f>
        <v>1.2861952861952861</v>
      </c>
    </row>
    <row r="16" spans="1:4" x14ac:dyDescent="0.3">
      <c r="A16" t="s">
        <v>1321</v>
      </c>
      <c r="B16" s="5">
        <f>(B13-B11)/B11</f>
        <v>2.5652797704447634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30D6-53F8-4EB4-A03A-6CCF563A3885}">
  <dimension ref="A1:F45"/>
  <sheetViews>
    <sheetView workbookViewId="0">
      <selection activeCell="F13" sqref="F13"/>
    </sheetView>
  </sheetViews>
  <sheetFormatPr defaultRowHeight="14.4" x14ac:dyDescent="0.3"/>
  <cols>
    <col min="2" max="4" width="8.88671875" customWidth="1"/>
    <col min="5" max="5" width="29.109375" bestFit="1" customWidth="1"/>
    <col min="6" max="6" width="29.88671875" bestFit="1" customWidth="1"/>
  </cols>
  <sheetData>
    <row r="1" spans="1:6" x14ac:dyDescent="0.3">
      <c r="A1" s="8" t="s">
        <v>1839</v>
      </c>
      <c r="B1" s="8" t="s">
        <v>2124</v>
      </c>
      <c r="C1" s="8" t="s">
        <v>2125</v>
      </c>
      <c r="D1" s="8" t="s">
        <v>2126</v>
      </c>
      <c r="E1" s="8" t="s">
        <v>2127</v>
      </c>
      <c r="F1" s="8" t="s">
        <v>2128</v>
      </c>
    </row>
    <row r="2" spans="1:6" x14ac:dyDescent="0.3">
      <c r="A2" t="s">
        <v>1831</v>
      </c>
      <c r="B2" s="9">
        <v>0.21575670184516499</v>
      </c>
      <c r="C2" s="9">
        <v>0.63525648294130699</v>
      </c>
      <c r="D2" s="9">
        <v>0.66853606146381195</v>
      </c>
      <c r="E2" s="9">
        <v>0.18625493426815717</v>
      </c>
      <c r="F2" s="9">
        <v>0.8137450657318428</v>
      </c>
    </row>
    <row r="3" spans="1:6" x14ac:dyDescent="0.3">
      <c r="A3" t="s">
        <v>1398</v>
      </c>
      <c r="B3" s="9">
        <v>0.21323698640675101</v>
      </c>
      <c r="C3" s="9">
        <v>0.45255592493365299</v>
      </c>
      <c r="D3" s="9">
        <v>0.48901744485370702</v>
      </c>
      <c r="E3" s="9">
        <v>0.25530633820384885</v>
      </c>
      <c r="F3" s="9">
        <v>0.74469366179615104</v>
      </c>
    </row>
    <row r="4" spans="1:6" x14ac:dyDescent="0.3">
      <c r="A4" t="s">
        <v>1456</v>
      </c>
      <c r="B4" s="9">
        <v>0.16258229237583599</v>
      </c>
      <c r="C4" s="9">
        <v>0.46822020526896002</v>
      </c>
      <c r="D4" s="9">
        <v>0.48474256173249702</v>
      </c>
      <c r="E4" s="9">
        <v>0.1847420290465551</v>
      </c>
      <c r="F4" s="9">
        <v>0.81525797095344499</v>
      </c>
    </row>
    <row r="5" spans="1:6" x14ac:dyDescent="0.3">
      <c r="A5" t="s">
        <v>1425</v>
      </c>
      <c r="B5" s="9">
        <v>0.32906708009069002</v>
      </c>
      <c r="C5" s="9">
        <v>0.37907013917760601</v>
      </c>
      <c r="D5" s="9">
        <v>0.48263524693482501</v>
      </c>
      <c r="E5" s="9">
        <v>0.44819787882828582</v>
      </c>
      <c r="F5" s="9">
        <v>0.55180212117171412</v>
      </c>
    </row>
    <row r="6" spans="1:6" x14ac:dyDescent="0.3">
      <c r="A6" t="s">
        <v>1489</v>
      </c>
      <c r="B6" s="9">
        <v>0.21994803159110901</v>
      </c>
      <c r="C6" s="9">
        <v>0.43669920160382097</v>
      </c>
      <c r="D6" s="9">
        <v>0.469804795042149</v>
      </c>
      <c r="E6" s="9">
        <v>0.26931783977080748</v>
      </c>
      <c r="F6" s="9">
        <v>0.73068216022919252</v>
      </c>
    </row>
    <row r="7" spans="1:6" x14ac:dyDescent="0.3">
      <c r="A7" t="s">
        <v>1829</v>
      </c>
      <c r="B7" s="9">
        <v>0.211351436690044</v>
      </c>
      <c r="C7" s="9">
        <v>0.44487914792772199</v>
      </c>
      <c r="D7" s="9">
        <v>0.44321615785754498</v>
      </c>
      <c r="E7" s="9">
        <v>0.23655325161595686</v>
      </c>
      <c r="F7" s="9">
        <v>0.76344674838404314</v>
      </c>
    </row>
    <row r="8" spans="1:6" x14ac:dyDescent="0.3">
      <c r="A8" t="s">
        <v>1438</v>
      </c>
      <c r="B8" s="9">
        <v>0.15222644911323699</v>
      </c>
      <c r="C8" s="9">
        <v>0.46788627902476398</v>
      </c>
      <c r="D8" s="9">
        <v>0.440927623448858</v>
      </c>
      <c r="E8" s="9">
        <v>0.14205028997447297</v>
      </c>
      <c r="F8" s="9">
        <v>0.85794971002552711</v>
      </c>
    </row>
    <row r="9" spans="1:6" x14ac:dyDescent="0.3">
      <c r="A9" t="s">
        <v>1833</v>
      </c>
      <c r="B9" s="9">
        <v>0.158571266127114</v>
      </c>
      <c r="C9" s="9">
        <v>0.40752329673260301</v>
      </c>
      <c r="D9" s="9">
        <v>0.439682574908482</v>
      </c>
      <c r="E9" s="9">
        <v>0.21689572794952441</v>
      </c>
      <c r="F9" s="9">
        <v>0.78310427205047561</v>
      </c>
    </row>
    <row r="10" spans="1:6" x14ac:dyDescent="0.3">
      <c r="A10" t="s">
        <v>1463</v>
      </c>
      <c r="B10" s="9">
        <v>0.23783687005815399</v>
      </c>
      <c r="C10" s="9">
        <v>0.35280204972282098</v>
      </c>
      <c r="D10" s="9">
        <v>0.42705507983637803</v>
      </c>
      <c r="E10" s="9">
        <v>0.36539771437830126</v>
      </c>
      <c r="F10" s="9">
        <v>0.63460228562169874</v>
      </c>
    </row>
    <row r="11" spans="1:6" x14ac:dyDescent="0.3">
      <c r="A11" t="s">
        <v>1379</v>
      </c>
      <c r="B11" s="9">
        <v>0.14311818655560399</v>
      </c>
      <c r="C11" s="9">
        <v>0.42469381919715599</v>
      </c>
      <c r="D11" s="9">
        <v>0.42343470234184499</v>
      </c>
      <c r="E11" s="9">
        <v>0.16750997133174042</v>
      </c>
      <c r="F11" s="9">
        <v>0.8324900286682595</v>
      </c>
    </row>
    <row r="12" spans="1:6" x14ac:dyDescent="0.3">
      <c r="A12" t="s">
        <v>1828</v>
      </c>
      <c r="B12" s="9">
        <v>0.22238178683653101</v>
      </c>
      <c r="C12" s="9">
        <v>0.41091918086516999</v>
      </c>
      <c r="D12" s="9">
        <v>0.42196645124971199</v>
      </c>
      <c r="E12" s="9">
        <v>0.27659670162134997</v>
      </c>
      <c r="F12" s="9">
        <v>0.72340329837865003</v>
      </c>
    </row>
    <row r="13" spans="1:6" x14ac:dyDescent="0.3">
      <c r="A13" t="s">
        <v>1369</v>
      </c>
      <c r="B13" s="9">
        <v>0.180199240585218</v>
      </c>
      <c r="C13" s="9">
        <v>0.41484320909031702</v>
      </c>
      <c r="D13" s="9">
        <v>0.42058905014958697</v>
      </c>
      <c r="E13" s="9">
        <v>0.22105316529086361</v>
      </c>
      <c r="F13" s="9">
        <v>0.77894683470913639</v>
      </c>
    </row>
    <row r="14" spans="1:6" x14ac:dyDescent="0.3">
      <c r="A14" t="s">
        <v>1405</v>
      </c>
      <c r="B14" s="9">
        <v>0.144124281901645</v>
      </c>
      <c r="C14" s="9">
        <v>0.42348892145123201</v>
      </c>
      <c r="D14" s="9">
        <v>0.41621640817670102</v>
      </c>
      <c r="E14" s="9">
        <v>0.16439977610038717</v>
      </c>
      <c r="F14" s="9">
        <v>0.83560022389961286</v>
      </c>
    </row>
    <row r="15" spans="1:6" x14ac:dyDescent="0.3">
      <c r="A15" t="s">
        <v>1343</v>
      </c>
      <c r="B15" s="9">
        <v>0.17804880234530801</v>
      </c>
      <c r="C15" s="9">
        <v>0.38476206311495798</v>
      </c>
      <c r="D15" s="9">
        <v>0.41526000092118298</v>
      </c>
      <c r="E15" s="9">
        <v>0.25110381410310156</v>
      </c>
      <c r="F15" s="9">
        <v>0.74889618589689844</v>
      </c>
    </row>
    <row r="16" spans="1:6" x14ac:dyDescent="0.3">
      <c r="A16" t="s">
        <v>1482</v>
      </c>
      <c r="B16" s="9">
        <v>0.19846264450675699</v>
      </c>
      <c r="C16" s="9">
        <v>0.36910048752678098</v>
      </c>
      <c r="D16" s="9">
        <v>0.41019463599921402</v>
      </c>
      <c r="E16" s="9">
        <v>0.29200380984461366</v>
      </c>
      <c r="F16" s="9">
        <v>0.7079961901553864</v>
      </c>
    </row>
    <row r="17" spans="1:6" x14ac:dyDescent="0.3">
      <c r="A17" t="s">
        <v>1442</v>
      </c>
      <c r="B17" s="9">
        <v>0.24634650796228599</v>
      </c>
      <c r="C17" s="9">
        <v>0.29447795869983101</v>
      </c>
      <c r="D17" s="9">
        <v>0.40884338969247302</v>
      </c>
      <c r="E17" s="9">
        <v>0.44113705644874329</v>
      </c>
      <c r="F17" s="9">
        <v>0.55886294355125676</v>
      </c>
    </row>
    <row r="18" spans="1:6" x14ac:dyDescent="0.3">
      <c r="A18" t="s">
        <v>1401</v>
      </c>
      <c r="B18" s="9">
        <v>9.5327924303179296E-2</v>
      </c>
      <c r="C18" s="9">
        <v>0.41628992414843502</v>
      </c>
      <c r="D18" s="9">
        <v>0.38795405988075499</v>
      </c>
      <c r="E18" s="9">
        <v>8.6340197156450096E-2</v>
      </c>
      <c r="F18" s="9">
        <v>0.91365980284354986</v>
      </c>
    </row>
    <row r="19" spans="1:6" x14ac:dyDescent="0.3">
      <c r="A19" t="s">
        <v>1444</v>
      </c>
      <c r="B19" s="9">
        <v>0.218942223897165</v>
      </c>
      <c r="C19" s="9">
        <v>0.338101064285175</v>
      </c>
      <c r="D19" s="9">
        <v>0.38700033020193297</v>
      </c>
      <c r="E19" s="9">
        <v>0.34604814119172189</v>
      </c>
      <c r="F19" s="9">
        <v>0.65395185880827811</v>
      </c>
    </row>
    <row r="20" spans="1:6" x14ac:dyDescent="0.3">
      <c r="A20" t="s">
        <v>1834</v>
      </c>
      <c r="B20" s="9">
        <v>0.15886030110152499</v>
      </c>
      <c r="C20" s="9">
        <v>0.39350769844423999</v>
      </c>
      <c r="D20" s="9">
        <v>0.38524029020149397</v>
      </c>
      <c r="E20" s="9">
        <v>0.19545319724997312</v>
      </c>
      <c r="F20" s="9">
        <v>0.80454680275002688</v>
      </c>
    </row>
    <row r="21" spans="1:6" x14ac:dyDescent="0.3">
      <c r="A21" t="s">
        <v>1487</v>
      </c>
      <c r="B21" s="9">
        <v>0.173139427105649</v>
      </c>
      <c r="C21" s="9">
        <v>0.36125994893355101</v>
      </c>
      <c r="D21" s="9">
        <v>0.38081684070654398</v>
      </c>
      <c r="E21" s="9">
        <v>0.2530039355942415</v>
      </c>
      <c r="F21" s="9">
        <v>0.74699606440575861</v>
      </c>
    </row>
    <row r="22" spans="1:6" x14ac:dyDescent="0.3">
      <c r="A22" t="s">
        <v>1827</v>
      </c>
      <c r="B22" s="9">
        <v>0.19526106903680401</v>
      </c>
      <c r="C22" s="9">
        <v>0.37192922114884702</v>
      </c>
      <c r="D22" s="9">
        <v>0.38034624356783298</v>
      </c>
      <c r="E22" s="9">
        <v>0.26775352050961554</v>
      </c>
      <c r="F22" s="9">
        <v>0.73224647949038446</v>
      </c>
    </row>
    <row r="23" spans="1:6" x14ac:dyDescent="0.3">
      <c r="A23" t="s">
        <v>1461</v>
      </c>
      <c r="B23" s="9">
        <v>0.16152074569589001</v>
      </c>
      <c r="C23" s="9">
        <v>0.36575587307867402</v>
      </c>
      <c r="D23" s="9">
        <v>0.37324661422827898</v>
      </c>
      <c r="E23" s="9">
        <v>0.22640726051184878</v>
      </c>
      <c r="F23" s="9">
        <v>0.77359273948815122</v>
      </c>
    </row>
    <row r="24" spans="1:6" x14ac:dyDescent="0.3">
      <c r="A24" t="s">
        <v>1340</v>
      </c>
      <c r="B24" s="9">
        <v>0.14699220868591001</v>
      </c>
      <c r="C24" s="9">
        <v>0.36259910682574897</v>
      </c>
      <c r="D24" s="9">
        <v>0.373131828128487</v>
      </c>
      <c r="E24" s="9">
        <v>0.21108482058304165</v>
      </c>
      <c r="F24" s="9">
        <v>0.78891517941695821</v>
      </c>
    </row>
    <row r="25" spans="1:6" x14ac:dyDescent="0.3">
      <c r="A25" t="s">
        <v>1466</v>
      </c>
      <c r="B25" s="9">
        <v>0.19532157827779101</v>
      </c>
      <c r="C25" s="9">
        <v>0.33493985156827899</v>
      </c>
      <c r="D25" s="9">
        <v>0.36567163615367498</v>
      </c>
      <c r="E25" s="9">
        <v>0.30909337847602042</v>
      </c>
      <c r="F25" s="9">
        <v>0.69090662152397953</v>
      </c>
    </row>
    <row r="26" spans="1:6" x14ac:dyDescent="0.3">
      <c r="A26" t="s">
        <v>1530</v>
      </c>
      <c r="B26" s="9">
        <v>0.20943554929673899</v>
      </c>
      <c r="C26" s="9">
        <v>0.34025336046091798</v>
      </c>
      <c r="D26" s="9">
        <v>0.36382991344849802</v>
      </c>
      <c r="E26" s="9">
        <v>0.32022119907040447</v>
      </c>
      <c r="F26" s="9">
        <v>0.67977880092959553</v>
      </c>
    </row>
    <row r="27" spans="1:6" x14ac:dyDescent="0.3">
      <c r="A27" t="s">
        <v>1348</v>
      </c>
      <c r="B27" s="9">
        <v>0.15813059272690499</v>
      </c>
      <c r="C27" s="9">
        <v>0.37253100386515697</v>
      </c>
      <c r="D27" s="9">
        <v>0.36076250272781302</v>
      </c>
      <c r="E27" s="9">
        <v>0.20285103147206496</v>
      </c>
      <c r="F27" s="9">
        <v>0.79714896852793504</v>
      </c>
    </row>
    <row r="28" spans="1:6" x14ac:dyDescent="0.3">
      <c r="A28" t="s">
        <v>1375</v>
      </c>
      <c r="B28" s="9">
        <v>0.227978680533554</v>
      </c>
      <c r="C28" s="9">
        <v>0.34323297108275003</v>
      </c>
      <c r="D28" s="9">
        <v>0.36001188992662803</v>
      </c>
      <c r="E28" s="9">
        <v>0.33992988318707285</v>
      </c>
      <c r="F28" s="9">
        <v>0.66007011681292715</v>
      </c>
    </row>
    <row r="29" spans="1:6" x14ac:dyDescent="0.3">
      <c r="A29" t="s">
        <v>1576</v>
      </c>
      <c r="B29" s="9">
        <v>0.18512551570525901</v>
      </c>
      <c r="C29" s="9">
        <v>0.34461133688769802</v>
      </c>
      <c r="D29" s="9">
        <v>0.35498023753942398</v>
      </c>
      <c r="E29" s="9">
        <v>0.27535957735573019</v>
      </c>
      <c r="F29" s="9">
        <v>0.72464042264426987</v>
      </c>
    </row>
    <row r="30" spans="1:6" x14ac:dyDescent="0.3">
      <c r="A30" t="s">
        <v>1826</v>
      </c>
      <c r="B30" s="9">
        <v>0.221568436806034</v>
      </c>
      <c r="C30" s="9">
        <v>0.35210862303509199</v>
      </c>
      <c r="D30" s="9">
        <v>0.35178181416798798</v>
      </c>
      <c r="E30" s="9">
        <v>0.31445859198576914</v>
      </c>
      <c r="F30" s="9">
        <v>0.68554140801423091</v>
      </c>
    </row>
    <row r="31" spans="1:6" x14ac:dyDescent="0.3">
      <c r="A31" t="s">
        <v>1493</v>
      </c>
      <c r="B31" s="9">
        <v>0.14892187638212301</v>
      </c>
      <c r="C31" s="9">
        <v>0.36595185200095698</v>
      </c>
      <c r="D31" s="9">
        <v>0.34643450215391902</v>
      </c>
      <c r="E31" s="9">
        <v>0.18676622237468615</v>
      </c>
      <c r="F31" s="9">
        <v>0.8132337776253139</v>
      </c>
    </row>
    <row r="32" spans="1:6" x14ac:dyDescent="0.3">
      <c r="A32" t="s">
        <v>1451</v>
      </c>
      <c r="B32" s="9">
        <v>0.14670132790155899</v>
      </c>
      <c r="C32" s="9">
        <v>0.35332846770843401</v>
      </c>
      <c r="D32" s="9">
        <v>0.34200260953202899</v>
      </c>
      <c r="E32" s="9">
        <v>0.19791584325978057</v>
      </c>
      <c r="F32" s="9">
        <v>0.80208415674021949</v>
      </c>
    </row>
    <row r="33" spans="1:6" x14ac:dyDescent="0.3">
      <c r="A33" t="s">
        <v>1465</v>
      </c>
      <c r="B33" s="9">
        <v>0.19444611127758499</v>
      </c>
      <c r="C33" s="9">
        <v>0.28698713201562898</v>
      </c>
      <c r="D33" s="9">
        <v>0.33667177044128899</v>
      </c>
      <c r="E33" s="9">
        <v>0.36256492396623152</v>
      </c>
      <c r="F33" s="9">
        <v>0.63743507603376848</v>
      </c>
    </row>
    <row r="34" spans="1:6" x14ac:dyDescent="0.3">
      <c r="A34" t="s">
        <v>1835</v>
      </c>
      <c r="B34" s="9">
        <v>0.14961432793013801</v>
      </c>
      <c r="C34" s="9">
        <v>0.307571533217805</v>
      </c>
      <c r="D34" s="9">
        <v>0.33041365696649799</v>
      </c>
      <c r="E34" s="9">
        <v>0.26097052594941178</v>
      </c>
      <c r="F34" s="9">
        <v>0.73902947405058828</v>
      </c>
    </row>
    <row r="35" spans="1:6" x14ac:dyDescent="0.3">
      <c r="A35" t="s">
        <v>1333</v>
      </c>
      <c r="B35" s="9">
        <v>0.144512580269688</v>
      </c>
      <c r="C35" s="9">
        <v>0.335601634513086</v>
      </c>
      <c r="D35" s="9">
        <v>0.32358869023034098</v>
      </c>
      <c r="E35" s="9">
        <v>0.20473465233383994</v>
      </c>
      <c r="F35" s="9">
        <v>0.79526534766615997</v>
      </c>
    </row>
    <row r="36" spans="1:6" x14ac:dyDescent="0.3">
      <c r="A36" t="s">
        <v>1390</v>
      </c>
      <c r="B36" s="9">
        <v>0.19350357748257899</v>
      </c>
      <c r="C36" s="9">
        <v>0.27965134288216098</v>
      </c>
      <c r="D36" s="9">
        <v>0.32026599731211902</v>
      </c>
      <c r="E36" s="9">
        <v>0.36550591364273732</v>
      </c>
      <c r="F36" s="9">
        <v>0.63449408635726279</v>
      </c>
    </row>
    <row r="37" spans="1:6" x14ac:dyDescent="0.3">
      <c r="A37" t="s">
        <v>1837</v>
      </c>
      <c r="B37" s="9">
        <v>0.17563494839242899</v>
      </c>
      <c r="C37" s="9">
        <v>0.17820812182357501</v>
      </c>
      <c r="D37" s="9">
        <v>0.30251840016356402</v>
      </c>
      <c r="E37" s="9">
        <v>0.49574707946730712</v>
      </c>
      <c r="F37" s="9">
        <v>0.50425292053269288</v>
      </c>
    </row>
    <row r="38" spans="1:6" x14ac:dyDescent="0.3">
      <c r="A38" t="s">
        <v>1538</v>
      </c>
      <c r="B38" s="9">
        <v>0.17547480306032301</v>
      </c>
      <c r="C38" s="9">
        <v>0.30139587539465601</v>
      </c>
      <c r="D38" s="9">
        <v>0.29806204619294202</v>
      </c>
      <c r="E38" s="9">
        <v>0.28876701354183559</v>
      </c>
      <c r="F38" s="9">
        <v>0.71123298645816435</v>
      </c>
    </row>
    <row r="39" spans="1:6" x14ac:dyDescent="0.3">
      <c r="A39" t="s">
        <v>1345</v>
      </c>
      <c r="B39" s="9">
        <v>0.177401756222719</v>
      </c>
      <c r="C39" s="9">
        <v>0.26801774282659202</v>
      </c>
      <c r="D39" s="9">
        <v>0.29488407489962898</v>
      </c>
      <c r="E39" s="9">
        <v>0.34635320399259201</v>
      </c>
      <c r="F39" s="9">
        <v>0.65364679600740805</v>
      </c>
    </row>
    <row r="40" spans="1:6" x14ac:dyDescent="0.3">
      <c r="A40" t="s">
        <v>1436</v>
      </c>
      <c r="B40" s="9">
        <v>0.14637488706065399</v>
      </c>
      <c r="C40" s="9">
        <v>0.24333109188039501</v>
      </c>
      <c r="D40" s="9">
        <v>0.27355691732602</v>
      </c>
      <c r="E40" s="9">
        <v>0.32278604802343486</v>
      </c>
      <c r="F40" s="9">
        <v>0.6772139519765652</v>
      </c>
    </row>
    <row r="41" spans="1:6" x14ac:dyDescent="0.3">
      <c r="A41" t="s">
        <v>1418</v>
      </c>
      <c r="B41" s="9">
        <v>0.15291334525407899</v>
      </c>
      <c r="C41" s="9">
        <v>0.24694597492212</v>
      </c>
      <c r="D41" s="9">
        <v>0.27338926215172199</v>
      </c>
      <c r="E41" s="9">
        <v>0.32802428133432682</v>
      </c>
      <c r="F41" s="9">
        <v>0.67197571866567318</v>
      </c>
    </row>
    <row r="42" spans="1:6" x14ac:dyDescent="0.3">
      <c r="A42" t="s">
        <v>1446</v>
      </c>
      <c r="B42" s="9">
        <v>9.3199117293452205E-2</v>
      </c>
      <c r="C42" s="9">
        <v>0.21089285348713399</v>
      </c>
      <c r="D42" s="9">
        <v>0.26545743885508799</v>
      </c>
      <c r="E42" s="9">
        <v>0.27831900906357676</v>
      </c>
      <c r="F42" s="9">
        <v>0.72168099093642324</v>
      </c>
    </row>
    <row r="43" spans="1:6" x14ac:dyDescent="0.3">
      <c r="A43" t="s">
        <v>1514</v>
      </c>
      <c r="B43" s="9">
        <v>0.23008372978246799</v>
      </c>
      <c r="C43" s="9">
        <v>0.20990929636324601</v>
      </c>
      <c r="D43" s="9">
        <v>0.23921332974757301</v>
      </c>
      <c r="E43" s="9">
        <v>0.54216828853248022</v>
      </c>
      <c r="F43" s="9">
        <v>0.45783171146751978</v>
      </c>
    </row>
    <row r="44" spans="1:6" x14ac:dyDescent="0.3">
      <c r="A44" t="s">
        <v>1373</v>
      </c>
      <c r="B44" s="9">
        <v>9.9796446077961301E-2</v>
      </c>
      <c r="C44" s="9">
        <v>0.226150657680391</v>
      </c>
      <c r="D44" s="9">
        <v>0.233304312058392</v>
      </c>
      <c r="E44" s="9">
        <v>0.2292072947824354</v>
      </c>
      <c r="F44" s="9">
        <v>0.7707927052175646</v>
      </c>
    </row>
    <row r="45" spans="1:6" x14ac:dyDescent="0.3">
      <c r="A45" t="s">
        <v>1433</v>
      </c>
      <c r="B45" s="9">
        <v>0.140580518252473</v>
      </c>
      <c r="C45" s="9">
        <v>0.18402191065540099</v>
      </c>
      <c r="D45" s="9">
        <v>0.18140889502756999</v>
      </c>
      <c r="E45" s="9">
        <v>0.38026664184155384</v>
      </c>
      <c r="F45" s="9">
        <v>0.6197333581584461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850CE-410A-48E8-81A1-7BD884EC09E1}">
  <dimension ref="A1:H47"/>
  <sheetViews>
    <sheetView workbookViewId="0">
      <selection activeCell="X4" sqref="X4"/>
    </sheetView>
  </sheetViews>
  <sheetFormatPr defaultRowHeight="14.4" x14ac:dyDescent="0.3"/>
  <cols>
    <col min="2" max="2" width="13" bestFit="1" customWidth="1"/>
    <col min="3" max="3" width="14" bestFit="1" customWidth="1"/>
    <col min="4" max="4" width="12.21875" bestFit="1" customWidth="1"/>
    <col min="5" max="5" width="30.21875" bestFit="1" customWidth="1"/>
    <col min="6" max="6" width="27.5546875" bestFit="1" customWidth="1"/>
  </cols>
  <sheetData>
    <row r="1" spans="1:8" x14ac:dyDescent="0.3">
      <c r="A1" s="8" t="s">
        <v>1839</v>
      </c>
      <c r="B1" s="8" t="s">
        <v>2129</v>
      </c>
      <c r="C1" s="8" t="s">
        <v>2130</v>
      </c>
      <c r="D1" s="8" t="s">
        <v>2131</v>
      </c>
      <c r="E1" s="8" t="s">
        <v>2127</v>
      </c>
      <c r="F1" s="8" t="s">
        <v>2128</v>
      </c>
      <c r="G1" s="1"/>
      <c r="H1" s="1"/>
    </row>
    <row r="2" spans="1:8" x14ac:dyDescent="0.3">
      <c r="A2" t="s">
        <v>1396</v>
      </c>
      <c r="B2" s="9">
        <v>0.28065307555622698</v>
      </c>
      <c r="C2" s="9">
        <v>0.63541654554315596</v>
      </c>
      <c r="D2" s="9">
        <v>0.68358032819389503</v>
      </c>
      <c r="E2" s="9">
        <v>0.24051076709283123</v>
      </c>
      <c r="F2" s="9">
        <v>0.75948923290716863</v>
      </c>
    </row>
    <row r="3" spans="1:8" x14ac:dyDescent="0.3">
      <c r="A3" t="s">
        <v>1530</v>
      </c>
      <c r="B3" s="9">
        <v>0.480690319437031</v>
      </c>
      <c r="C3" s="9">
        <v>0.31706122463903802</v>
      </c>
      <c r="D3" s="9">
        <v>0.59963258318238499</v>
      </c>
      <c r="E3" s="9">
        <v>0.63644113027478977</v>
      </c>
      <c r="F3" s="9">
        <v>0.36355886972521023</v>
      </c>
    </row>
    <row r="4" spans="1:8" x14ac:dyDescent="0.3">
      <c r="A4" t="s">
        <v>1833</v>
      </c>
      <c r="B4" s="9">
        <v>0.40527392512147398</v>
      </c>
      <c r="C4" s="9">
        <v>0.203058175551459</v>
      </c>
      <c r="D4" s="9">
        <v>0.59092907204715805</v>
      </c>
      <c r="E4" s="9">
        <v>0.67109984864129135</v>
      </c>
      <c r="F4" s="9">
        <v>0.32890015135870865</v>
      </c>
    </row>
    <row r="5" spans="1:8" x14ac:dyDescent="0.3">
      <c r="A5" t="s">
        <v>1373</v>
      </c>
      <c r="B5" s="9">
        <v>0.13775088956295301</v>
      </c>
      <c r="C5" s="9">
        <v>0.51722782307745696</v>
      </c>
      <c r="D5" s="9">
        <v>0.53315832892266901</v>
      </c>
      <c r="E5" s="9">
        <v>0.14412359994328766</v>
      </c>
      <c r="F5" s="9">
        <v>0.85587640005671228</v>
      </c>
    </row>
    <row r="6" spans="1:8" x14ac:dyDescent="0.3">
      <c r="A6" t="s">
        <v>1379</v>
      </c>
      <c r="B6" s="9">
        <v>0.28695115271409799</v>
      </c>
      <c r="C6" s="9">
        <v>0.425552730601714</v>
      </c>
      <c r="D6" s="9">
        <v>0.50551325516427204</v>
      </c>
      <c r="E6" s="9">
        <v>0.36291004590712866</v>
      </c>
      <c r="F6" s="9">
        <v>0.63708995409287128</v>
      </c>
    </row>
    <row r="7" spans="1:8" x14ac:dyDescent="0.3">
      <c r="A7" t="s">
        <v>1514</v>
      </c>
      <c r="B7" s="9">
        <v>0.39759785798017999</v>
      </c>
      <c r="C7" s="9">
        <v>0.28407748019384599</v>
      </c>
      <c r="D7" s="9">
        <v>0.48264010608868002</v>
      </c>
      <c r="E7" s="9">
        <v>0.61760354802080608</v>
      </c>
      <c r="F7" s="9">
        <v>0.38239645197919397</v>
      </c>
    </row>
    <row r="8" spans="1:8" x14ac:dyDescent="0.3">
      <c r="A8" t="s">
        <v>1398</v>
      </c>
      <c r="B8" s="9">
        <v>0.234392483051161</v>
      </c>
      <c r="C8" s="9">
        <v>0.42111359735884202</v>
      </c>
      <c r="D8" s="9">
        <v>0.47999952673631102</v>
      </c>
      <c r="E8" s="9">
        <v>0.30549864749110811</v>
      </c>
      <c r="F8" s="9">
        <v>0.694501352508892</v>
      </c>
    </row>
    <row r="9" spans="1:8" x14ac:dyDescent="0.3">
      <c r="A9" t="s">
        <v>1425</v>
      </c>
      <c r="B9" s="9">
        <v>0.28411381959666698</v>
      </c>
      <c r="C9" s="9">
        <v>0.39896959197106102</v>
      </c>
      <c r="D9" s="9">
        <v>0.47705614389720402</v>
      </c>
      <c r="E9" s="9">
        <v>0.37962027756722161</v>
      </c>
      <c r="F9" s="9">
        <v>0.62037972243277839</v>
      </c>
    </row>
    <row r="10" spans="1:8" x14ac:dyDescent="0.3">
      <c r="A10" t="s">
        <v>1405</v>
      </c>
      <c r="B10" s="9">
        <v>0.219431242510189</v>
      </c>
      <c r="C10" s="9">
        <v>0.43516683988045102</v>
      </c>
      <c r="D10" s="9">
        <v>0.46783433121298501</v>
      </c>
      <c r="E10" s="9">
        <v>0.2694316310531229</v>
      </c>
      <c r="F10" s="9">
        <v>0.73056836894687704</v>
      </c>
    </row>
    <row r="11" spans="1:8" x14ac:dyDescent="0.3">
      <c r="A11" t="s">
        <v>1446</v>
      </c>
      <c r="B11" s="9">
        <v>0.26518032545853498</v>
      </c>
      <c r="C11" s="9">
        <v>0.37464780011037802</v>
      </c>
      <c r="D11" s="9">
        <v>0.46672165415991301</v>
      </c>
      <c r="E11" s="9">
        <v>0.38272723830557887</v>
      </c>
      <c r="F11" s="9">
        <v>0.61727276169442102</v>
      </c>
    </row>
    <row r="12" spans="1:8" x14ac:dyDescent="0.3">
      <c r="A12" t="s">
        <v>1489</v>
      </c>
      <c r="B12" s="9">
        <v>0.23730543356059</v>
      </c>
      <c r="C12" s="9">
        <v>0.430191259172022</v>
      </c>
      <c r="D12" s="9">
        <v>0.46669211889217599</v>
      </c>
      <c r="E12" s="9">
        <v>0.29334788632246422</v>
      </c>
      <c r="F12" s="9">
        <v>0.70665211367753578</v>
      </c>
    </row>
    <row r="13" spans="1:8" x14ac:dyDescent="0.3">
      <c r="A13" t="s">
        <v>1456</v>
      </c>
      <c r="B13" s="9">
        <v>0.24985083700955299</v>
      </c>
      <c r="C13" s="9">
        <v>0.36858643698521898</v>
      </c>
      <c r="D13" s="9">
        <v>0.453699807270661</v>
      </c>
      <c r="E13" s="9">
        <v>0.36914739870626323</v>
      </c>
      <c r="F13" s="9">
        <v>0.63085260129373677</v>
      </c>
    </row>
    <row r="14" spans="1:8" x14ac:dyDescent="0.3">
      <c r="A14" t="s">
        <v>2132</v>
      </c>
      <c r="B14" s="9">
        <v>0.27141042216524403</v>
      </c>
      <c r="C14" s="9">
        <v>0.37969315322475999</v>
      </c>
      <c r="D14" s="9">
        <v>0.45359362369851602</v>
      </c>
      <c r="E14" s="9">
        <v>0.38063905068087245</v>
      </c>
      <c r="F14" s="9">
        <v>0.61936094931912755</v>
      </c>
    </row>
    <row r="15" spans="1:8" x14ac:dyDescent="0.3">
      <c r="A15" t="s">
        <v>1345</v>
      </c>
      <c r="B15" s="9">
        <v>0.23926293019711301</v>
      </c>
      <c r="C15" s="9">
        <v>0.42659872745128202</v>
      </c>
      <c r="D15" s="9">
        <v>0.439938233779961</v>
      </c>
      <c r="E15" s="9">
        <v>0.28708852417238789</v>
      </c>
      <c r="F15" s="9">
        <v>0.71291147582761205</v>
      </c>
    </row>
    <row r="16" spans="1:8" x14ac:dyDescent="0.3">
      <c r="A16" t="s">
        <v>1418</v>
      </c>
      <c r="B16" s="9">
        <v>0.16124962298486101</v>
      </c>
      <c r="C16" s="9">
        <v>0.42081850296634399</v>
      </c>
      <c r="D16" s="9">
        <v>0.42497216139212102</v>
      </c>
      <c r="E16" s="9">
        <v>0.19460484290172214</v>
      </c>
      <c r="F16" s="9">
        <v>0.8053951570982778</v>
      </c>
    </row>
    <row r="17" spans="1:6" x14ac:dyDescent="0.3">
      <c r="A17" t="s">
        <v>1465</v>
      </c>
      <c r="B17" s="9">
        <v>0.2366800430163</v>
      </c>
      <c r="C17" s="9">
        <v>0.37172673166575498</v>
      </c>
      <c r="D17" s="9">
        <v>0.42342279124416698</v>
      </c>
      <c r="E17" s="9">
        <v>0.34052973594945174</v>
      </c>
      <c r="F17" s="9">
        <v>0.6594702640505482</v>
      </c>
    </row>
    <row r="18" spans="1:6" x14ac:dyDescent="0.3">
      <c r="A18" t="s">
        <v>1348</v>
      </c>
      <c r="B18" s="9">
        <v>0.208136363986549</v>
      </c>
      <c r="C18" s="9">
        <v>0.38788037437495498</v>
      </c>
      <c r="D18" s="9">
        <v>0.42306142956037901</v>
      </c>
      <c r="E18" s="9">
        <v>0.28756748095047857</v>
      </c>
      <c r="F18" s="9">
        <v>0.71243251904952143</v>
      </c>
    </row>
    <row r="19" spans="1:6" x14ac:dyDescent="0.3">
      <c r="A19" t="s">
        <v>1482</v>
      </c>
      <c r="B19" s="9">
        <v>0.23597883123306501</v>
      </c>
      <c r="C19" s="9">
        <v>0.35470275441066001</v>
      </c>
      <c r="D19" s="9">
        <v>0.41265231210215197</v>
      </c>
      <c r="E19" s="9">
        <v>0.35614533143800131</v>
      </c>
      <c r="F19" s="9">
        <v>0.64385466856199869</v>
      </c>
    </row>
    <row r="20" spans="1:6" x14ac:dyDescent="0.3">
      <c r="A20" t="s">
        <v>1852</v>
      </c>
      <c r="B20" s="9">
        <v>0.21433805932695199</v>
      </c>
      <c r="C20" s="9">
        <v>0.41041683601895601</v>
      </c>
      <c r="D20" s="9">
        <v>0.41197505806130302</v>
      </c>
      <c r="E20" s="9">
        <v>0.2620259129099668</v>
      </c>
      <c r="F20" s="9">
        <v>0.73797408709003331</v>
      </c>
    </row>
    <row r="21" spans="1:6" x14ac:dyDescent="0.3">
      <c r="A21" t="s">
        <v>1461</v>
      </c>
      <c r="B21" s="9">
        <v>0.18378506426733701</v>
      </c>
      <c r="C21" s="9">
        <v>0.38271795527355901</v>
      </c>
      <c r="D21" s="9">
        <v>0.39732083423452702</v>
      </c>
      <c r="E21" s="9">
        <v>0.24965711099761048</v>
      </c>
      <c r="F21" s="9">
        <v>0.75034288900238955</v>
      </c>
    </row>
    <row r="22" spans="1:6" x14ac:dyDescent="0.3">
      <c r="A22" t="s">
        <v>1401</v>
      </c>
      <c r="B22" s="9">
        <v>0.12166222182636199</v>
      </c>
      <c r="C22" s="9">
        <v>0.40292288339483801</v>
      </c>
      <c r="D22" s="9">
        <v>0.396142407758312</v>
      </c>
      <c r="E22" s="9">
        <v>0.14500056537739553</v>
      </c>
      <c r="F22" s="9">
        <v>0.85499943462260453</v>
      </c>
    </row>
    <row r="23" spans="1:6" x14ac:dyDescent="0.3">
      <c r="A23" t="s">
        <v>1343</v>
      </c>
      <c r="B23" s="9">
        <v>0.16671164925852699</v>
      </c>
      <c r="C23" s="9">
        <v>0.34935003188984198</v>
      </c>
      <c r="D23" s="9">
        <v>0.39547511075363001</v>
      </c>
      <c r="E23" s="9">
        <v>0.26908991531316162</v>
      </c>
      <c r="F23" s="9">
        <v>0.73091008468683838</v>
      </c>
    </row>
    <row r="24" spans="1:6" x14ac:dyDescent="0.3">
      <c r="A24" t="s">
        <v>1442</v>
      </c>
      <c r="B24" s="9">
        <v>0.199545194357094</v>
      </c>
      <c r="C24" s="9">
        <v>0.33602395227948201</v>
      </c>
      <c r="D24" s="9">
        <v>0.393205734857554</v>
      </c>
      <c r="E24" s="9">
        <v>0.32645375458240716</v>
      </c>
      <c r="F24" s="9">
        <v>0.67354624541759278</v>
      </c>
    </row>
    <row r="25" spans="1:6" x14ac:dyDescent="0.3">
      <c r="A25" t="s">
        <v>1340</v>
      </c>
      <c r="B25" s="9">
        <v>0.168003247443514</v>
      </c>
      <c r="C25" s="9">
        <v>0.38441440556092099</v>
      </c>
      <c r="D25" s="9">
        <v>0.39066390291589798</v>
      </c>
      <c r="E25" s="9">
        <v>0.22302130232391099</v>
      </c>
      <c r="F25" s="9">
        <v>0.77697869767608907</v>
      </c>
    </row>
    <row r="26" spans="1:6" x14ac:dyDescent="0.3">
      <c r="A26" t="s">
        <v>1487</v>
      </c>
      <c r="B26" s="9">
        <v>0.186765697115197</v>
      </c>
      <c r="C26" s="9">
        <v>0.37604165430883302</v>
      </c>
      <c r="D26" s="9">
        <v>0.38811113121441498</v>
      </c>
      <c r="E26" s="9">
        <v>0.25615752555024113</v>
      </c>
      <c r="F26" s="9">
        <v>0.74384247444975882</v>
      </c>
    </row>
    <row r="27" spans="1:6" x14ac:dyDescent="0.3">
      <c r="A27" t="s">
        <v>1375</v>
      </c>
      <c r="B27" s="9">
        <v>0.29573349488628398</v>
      </c>
      <c r="C27" s="9">
        <v>0.33869183098577099</v>
      </c>
      <c r="D27" s="9">
        <v>0.379254230862486</v>
      </c>
      <c r="E27" s="9">
        <v>0.4433647239718424</v>
      </c>
      <c r="F27" s="9">
        <v>0.55663527602815766</v>
      </c>
    </row>
    <row r="28" spans="1:6" x14ac:dyDescent="0.3">
      <c r="A28" t="s">
        <v>1463</v>
      </c>
      <c r="B28" s="9">
        <v>0.197914710641028</v>
      </c>
      <c r="C28" s="9">
        <v>0.32275897955348798</v>
      </c>
      <c r="D28" s="9">
        <v>0.37861230772507498</v>
      </c>
      <c r="E28" s="9">
        <v>0.33512914614081402</v>
      </c>
      <c r="F28" s="9">
        <v>0.66487085385918598</v>
      </c>
    </row>
    <row r="29" spans="1:6" x14ac:dyDescent="0.3">
      <c r="A29" t="s">
        <v>1357</v>
      </c>
      <c r="B29" s="9">
        <v>0.45098404365404599</v>
      </c>
      <c r="C29" s="9">
        <v>0.37139480002105901</v>
      </c>
      <c r="D29" s="9">
        <v>0.37726586322456102</v>
      </c>
      <c r="E29" s="9">
        <v>0.60548163959591128</v>
      </c>
      <c r="F29" s="9">
        <v>0.39451836040408877</v>
      </c>
    </row>
    <row r="30" spans="1:6" x14ac:dyDescent="0.3">
      <c r="A30" t="s">
        <v>1390</v>
      </c>
      <c r="B30" s="9">
        <v>0.20801832544344201</v>
      </c>
      <c r="C30" s="9">
        <v>0.34751549160857398</v>
      </c>
      <c r="D30" s="9">
        <v>0.37215143875766299</v>
      </c>
      <c r="E30" s="9">
        <v>0.31258010632605732</v>
      </c>
      <c r="F30" s="9">
        <v>0.68741989367394263</v>
      </c>
    </row>
    <row r="31" spans="1:6" x14ac:dyDescent="0.3">
      <c r="A31" t="s">
        <v>2133</v>
      </c>
      <c r="B31" s="9">
        <v>0.20643912188531099</v>
      </c>
      <c r="C31" s="9">
        <v>0.37500605446789098</v>
      </c>
      <c r="D31" s="9">
        <v>0.36935479241425001</v>
      </c>
      <c r="E31" s="9">
        <v>0.27180892729080436</v>
      </c>
      <c r="F31" s="9">
        <v>0.7281910727091957</v>
      </c>
    </row>
    <row r="32" spans="1:6" x14ac:dyDescent="0.3">
      <c r="A32" t="s">
        <v>1369</v>
      </c>
      <c r="B32" s="9">
        <v>0.19450377546594699</v>
      </c>
      <c r="C32" s="9">
        <v>0.38590215751620699</v>
      </c>
      <c r="D32" s="9">
        <v>0.368742221031789</v>
      </c>
      <c r="E32" s="9">
        <v>0.24047129521173047</v>
      </c>
      <c r="F32" s="9">
        <v>0.75952870478826962</v>
      </c>
    </row>
    <row r="33" spans="1:6" x14ac:dyDescent="0.3">
      <c r="A33" t="s">
        <v>1436</v>
      </c>
      <c r="B33" s="9">
        <v>0.20332404155294501</v>
      </c>
      <c r="C33" s="9">
        <v>0.30110636480272401</v>
      </c>
      <c r="D33" s="9">
        <v>0.36250567825908497</v>
      </c>
      <c r="E33" s="9">
        <v>0.36512994262686643</v>
      </c>
      <c r="F33" s="9">
        <v>0.63487005737313362</v>
      </c>
    </row>
    <row r="34" spans="1:6" x14ac:dyDescent="0.3">
      <c r="A34" t="s">
        <v>1493</v>
      </c>
      <c r="B34" s="9">
        <v>0.14643858714525401</v>
      </c>
      <c r="C34" s="9">
        <v>0.37654192056126601</v>
      </c>
      <c r="D34" s="9">
        <v>0.34927175766751201</v>
      </c>
      <c r="E34" s="9">
        <v>0.17059556296123715</v>
      </c>
      <c r="F34" s="9">
        <v>0.82940443703876288</v>
      </c>
    </row>
    <row r="35" spans="1:6" x14ac:dyDescent="0.3">
      <c r="A35" t="s">
        <v>1466</v>
      </c>
      <c r="B35" s="9">
        <v>0.17856431110924501</v>
      </c>
      <c r="C35" s="9">
        <v>0.33526228301089001</v>
      </c>
      <c r="D35" s="9">
        <v>0.34779599636241498</v>
      </c>
      <c r="E35" s="9">
        <v>0.2747271769362743</v>
      </c>
      <c r="F35" s="9">
        <v>0.72527282306372576</v>
      </c>
    </row>
    <row r="36" spans="1:6" x14ac:dyDescent="0.3">
      <c r="A36" t="s">
        <v>1333</v>
      </c>
      <c r="B36" s="9">
        <v>0.24926187388243601</v>
      </c>
      <c r="C36" s="9">
        <v>0.31453915307644198</v>
      </c>
      <c r="D36" s="9">
        <v>0.34759581398373801</v>
      </c>
      <c r="E36" s="9">
        <v>0.40610174724794018</v>
      </c>
      <c r="F36" s="9">
        <v>0.59389825275205976</v>
      </c>
    </row>
    <row r="37" spans="1:6" x14ac:dyDescent="0.3">
      <c r="A37" t="s">
        <v>1433</v>
      </c>
      <c r="B37" s="9">
        <v>0.218231094076691</v>
      </c>
      <c r="C37" s="9">
        <v>0.34579914753845797</v>
      </c>
      <c r="D37" s="9">
        <v>0.34710361911680199</v>
      </c>
      <c r="E37" s="9">
        <v>0.31623923457444603</v>
      </c>
      <c r="F37" s="9">
        <v>0.68376076542555397</v>
      </c>
    </row>
    <row r="38" spans="1:6" x14ac:dyDescent="0.3">
      <c r="A38" t="s">
        <v>1576</v>
      </c>
      <c r="B38" s="9">
        <v>0.19689332843976001</v>
      </c>
      <c r="C38" s="9">
        <v>0.33132893014605502</v>
      </c>
      <c r="D38" s="9">
        <v>0.34250275330368701</v>
      </c>
      <c r="E38" s="9">
        <v>0.30374522480539745</v>
      </c>
      <c r="F38" s="9">
        <v>0.69625477519460255</v>
      </c>
    </row>
    <row r="39" spans="1:6" x14ac:dyDescent="0.3">
      <c r="A39" t="s">
        <v>1367</v>
      </c>
      <c r="B39" s="9">
        <v>0.19240124868751901</v>
      </c>
      <c r="C39" s="9">
        <v>0.318221137357039</v>
      </c>
      <c r="D39" s="9">
        <v>0.31528702753351601</v>
      </c>
      <c r="E39" s="9">
        <v>0.30046770453290383</v>
      </c>
      <c r="F39" s="9">
        <v>0.69953229546709617</v>
      </c>
    </row>
    <row r="40" spans="1:6" x14ac:dyDescent="0.3">
      <c r="A40" t="s">
        <v>1444</v>
      </c>
      <c r="B40" s="9">
        <v>0.158529631104187</v>
      </c>
      <c r="C40" s="9">
        <v>0.31383657770970402</v>
      </c>
      <c r="D40" s="9">
        <v>0.30732969458750298</v>
      </c>
      <c r="E40" s="9">
        <v>0.24732844020495715</v>
      </c>
      <c r="F40" s="9">
        <v>0.75267155979504285</v>
      </c>
    </row>
    <row r="41" spans="1:6" x14ac:dyDescent="0.3">
      <c r="A41" t="s">
        <v>1829</v>
      </c>
      <c r="B41" s="9">
        <v>0.20977027742846899</v>
      </c>
      <c r="C41" s="9">
        <v>0.29491047440978002</v>
      </c>
      <c r="D41" s="9">
        <v>0.30211202350411198</v>
      </c>
      <c r="E41" s="9">
        <v>0.35909167732916758</v>
      </c>
      <c r="F41" s="9">
        <v>0.64090832267083242</v>
      </c>
    </row>
    <row r="42" spans="1:6" x14ac:dyDescent="0.3">
      <c r="A42" t="s">
        <v>1538</v>
      </c>
      <c r="B42" s="9">
        <v>0.18753495353406699</v>
      </c>
      <c r="C42" s="9">
        <v>0.30550091607693097</v>
      </c>
      <c r="D42" s="9">
        <v>0.30182040850416397</v>
      </c>
      <c r="E42" s="9">
        <v>0.30457590139860191</v>
      </c>
      <c r="F42" s="9">
        <v>0.69542409860139809</v>
      </c>
    </row>
    <row r="43" spans="1:6" x14ac:dyDescent="0.3">
      <c r="A43" t="s">
        <v>1438</v>
      </c>
      <c r="B43" s="9">
        <v>0.20746358607755899</v>
      </c>
      <c r="C43" s="9">
        <v>0.319485503678133</v>
      </c>
      <c r="D43" s="9">
        <v>0.30126812019101101</v>
      </c>
      <c r="E43" s="9">
        <v>0.31408268898556291</v>
      </c>
      <c r="F43" s="9">
        <v>0.68591731101443709</v>
      </c>
    </row>
    <row r="44" spans="1:6" x14ac:dyDescent="0.3">
      <c r="A44" t="s">
        <v>1451</v>
      </c>
      <c r="B44" s="9">
        <v>0.105818657633533</v>
      </c>
      <c r="C44" s="9">
        <v>0.30972025767316502</v>
      </c>
      <c r="D44" s="9">
        <v>0.29039573007504599</v>
      </c>
      <c r="E44" s="9">
        <v>0.14892458992606672</v>
      </c>
      <c r="F44" s="9">
        <v>0.85107541007393328</v>
      </c>
    </row>
    <row r="45" spans="1:6" x14ac:dyDescent="0.3">
      <c r="A45" t="s">
        <v>1836</v>
      </c>
      <c r="B45" s="9">
        <v>0.141667730113472</v>
      </c>
      <c r="C45" s="9">
        <v>0.196440560465764</v>
      </c>
      <c r="D45" s="9">
        <v>0.19588394594717101</v>
      </c>
      <c r="E45" s="9">
        <v>0.36019060906843287</v>
      </c>
      <c r="F45" s="9">
        <v>0.63980939093156719</v>
      </c>
    </row>
    <row r="46" spans="1:6" x14ac:dyDescent="0.3">
      <c r="A46" t="s">
        <v>1830</v>
      </c>
      <c r="B46" s="9">
        <v>0.15829438226142201</v>
      </c>
      <c r="C46" s="9">
        <v>8.5888570202260303E-2</v>
      </c>
      <c r="D46" s="9">
        <v>0.15225567639583401</v>
      </c>
      <c r="E46" s="9">
        <v>0.73777705295834495</v>
      </c>
      <c r="F46" s="9">
        <v>0.26222294704165505</v>
      </c>
    </row>
    <row r="47" spans="1:6" x14ac:dyDescent="0.3">
      <c r="A47" t="s">
        <v>1835</v>
      </c>
      <c r="B47" s="9">
        <v>0.13238893539423899</v>
      </c>
      <c r="C47" s="9">
        <v>0.116536737650885</v>
      </c>
      <c r="D47" s="9">
        <v>0.14429892781598999</v>
      </c>
      <c r="E47" s="9">
        <v>0.55492832823944716</v>
      </c>
      <c r="F47" s="9">
        <v>0.44507167176055284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COUNTRY_project_PIIwide_md15k_s</vt:lpstr>
      <vt:lpstr>COUNTRY_corridors_PIIwide_md15k</vt:lpstr>
      <vt:lpstr>Results_countries</vt:lpstr>
      <vt:lpstr>Proj_lines_inPCAs</vt:lpstr>
      <vt:lpstr>Proj_lines_inKBA</vt:lpstr>
      <vt:lpstr>GIS_Results_PCAs_KBAs</vt:lpstr>
      <vt:lpstr>PCAs_PII__means</vt:lpstr>
      <vt:lpstr>KBAs_PII_means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Juffe Bignoli</dc:creator>
  <cp:lastModifiedBy>Diego Juffe Bignoli</cp:lastModifiedBy>
  <dcterms:created xsi:type="dcterms:W3CDTF">2015-06-05T18:17:20Z</dcterms:created>
  <dcterms:modified xsi:type="dcterms:W3CDTF">2025-12-29T08:37:01Z</dcterms:modified>
</cp:coreProperties>
</file>