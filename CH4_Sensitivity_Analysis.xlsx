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odiversitydecisions-my.sharepoint.com/personal/diegojuffe_biodecisions_org/Documents/1_Projects/0_PhD/9_PhD_full_thesis/Full Results Chapter 4_Juffe-Bignoli (2025)/"/>
    </mc:Choice>
  </mc:AlternateContent>
  <xr:revisionPtr revIDLastSave="140" documentId="8_{045291F9-E2F7-4960-AF65-FF9AB2FC6733}" xr6:coauthVersionLast="47" xr6:coauthVersionMax="47" xr10:uidLastSave="{8AC26445-C598-4364-86AF-8AADFA25CB3C}"/>
  <bookViews>
    <workbookView xWindow="-28920" yWindow="-120" windowWidth="29040" windowHeight="15720" xr2:uid="{BE5D24B1-2CA6-4634-A2D0-340A0CD2AFBC}"/>
  </bookViews>
  <sheets>
    <sheet name="Summary" sheetId="1" r:id="rId1"/>
    <sheet name="Run1" sheetId="4" r:id="rId2"/>
    <sheet name="Run2" sheetId="3" r:id="rId3"/>
    <sheet name="Run3" sheetId="5" r:id="rId4"/>
    <sheet name="Run4" sheetId="2" r:id="rId5"/>
    <sheet name="Run5" sheetId="6" r:id="rId6"/>
    <sheet name="Run6" sheetId="8" r:id="rId7"/>
    <sheet name="Run7" sheetId="7" r:id="rId8"/>
  </sheets>
  <definedNames>
    <definedName name="_xlnm._FilterDatabase" localSheetId="1" hidden="1">'Run1'!$A$1:$G$62</definedName>
    <definedName name="_xlnm._FilterDatabase" localSheetId="0" hidden="1">Summary!$B$10:$K$72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8" i="1"/>
  <c r="K20" i="1"/>
  <c r="K22" i="1"/>
  <c r="K24" i="1"/>
  <c r="K27" i="1"/>
  <c r="K28" i="1"/>
  <c r="K30" i="1"/>
  <c r="K32" i="1"/>
  <c r="K34" i="1"/>
  <c r="K36" i="1"/>
  <c r="K39" i="1"/>
  <c r="K40" i="1"/>
  <c r="K42" i="1"/>
  <c r="K44" i="1"/>
  <c r="K46" i="1"/>
  <c r="K48" i="1"/>
  <c r="K51" i="1"/>
  <c r="K52" i="1"/>
  <c r="K54" i="1"/>
  <c r="K56" i="1"/>
  <c r="K58" i="1"/>
  <c r="K60" i="1"/>
  <c r="K63" i="1"/>
  <c r="K64" i="1"/>
  <c r="K66" i="1"/>
  <c r="K68" i="1"/>
  <c r="K70" i="1"/>
  <c r="K72" i="1"/>
  <c r="K12" i="1"/>
  <c r="K13" i="1"/>
  <c r="K14" i="1"/>
  <c r="K16" i="1"/>
  <c r="K17" i="1"/>
  <c r="K19" i="1"/>
  <c r="K21" i="1"/>
  <c r="K23" i="1"/>
  <c r="K25" i="1"/>
  <c r="K26" i="1"/>
  <c r="K29" i="1"/>
  <c r="K31" i="1"/>
  <c r="K33" i="1"/>
  <c r="K35" i="1"/>
  <c r="K37" i="1"/>
  <c r="K38" i="1"/>
  <c r="K41" i="1"/>
  <c r="K43" i="1"/>
  <c r="K45" i="1"/>
  <c r="K47" i="1"/>
  <c r="K49" i="1"/>
  <c r="K50" i="1"/>
  <c r="K53" i="1"/>
  <c r="K55" i="1"/>
  <c r="K57" i="1"/>
  <c r="K59" i="1"/>
  <c r="K61" i="1"/>
  <c r="K62" i="1"/>
  <c r="K65" i="1"/>
  <c r="K67" i="1"/>
  <c r="K69" i="1"/>
  <c r="K71" i="1"/>
  <c r="J13" i="1"/>
  <c r="J14" i="1"/>
  <c r="J16" i="1"/>
  <c r="J17" i="1"/>
  <c r="J18" i="1"/>
  <c r="J19" i="1"/>
  <c r="J21" i="1"/>
  <c r="J23" i="1"/>
  <c r="J25" i="1"/>
  <c r="J26" i="1"/>
  <c r="J28" i="1"/>
  <c r="J29" i="1"/>
  <c r="J30" i="1"/>
  <c r="J31" i="1"/>
  <c r="J33" i="1"/>
  <c r="J35" i="1"/>
  <c r="J37" i="1"/>
  <c r="J38" i="1"/>
  <c r="J40" i="1"/>
  <c r="J41" i="1"/>
  <c r="J43" i="1"/>
  <c r="J45" i="1"/>
  <c r="J47" i="1"/>
  <c r="J49" i="1"/>
  <c r="J50" i="1"/>
  <c r="J52" i="1"/>
  <c r="J53" i="1"/>
  <c r="J55" i="1"/>
  <c r="J57" i="1"/>
  <c r="J59" i="1"/>
  <c r="J61" i="1"/>
  <c r="J62" i="1"/>
  <c r="J64" i="1"/>
  <c r="J65" i="1"/>
  <c r="J67" i="1"/>
  <c r="J69" i="1"/>
  <c r="J71" i="1"/>
  <c r="J70" i="1" l="1"/>
  <c r="J58" i="1"/>
  <c r="J46" i="1"/>
  <c r="J34" i="1"/>
  <c r="J22" i="1"/>
  <c r="J68" i="1"/>
  <c r="J56" i="1"/>
  <c r="J44" i="1"/>
  <c r="J32" i="1"/>
  <c r="J20" i="1"/>
  <c r="J66" i="1"/>
  <c r="J54" i="1"/>
  <c r="J42" i="1"/>
  <c r="J63" i="1"/>
  <c r="J51" i="1"/>
  <c r="J39" i="1"/>
  <c r="J27" i="1"/>
  <c r="J15" i="1"/>
  <c r="J72" i="1"/>
  <c r="J60" i="1"/>
  <c r="J48" i="1"/>
  <c r="J36" i="1"/>
  <c r="J24" i="1"/>
  <c r="J12" i="1"/>
</calcChain>
</file>

<file path=xl/sharedStrings.xml><?xml version="1.0" encoding="utf-8"?>
<sst xmlns="http://schemas.openxmlformats.org/spreadsheetml/2006/main" count="1031" uniqueCount="107">
  <si>
    <t>Run</t>
  </si>
  <si>
    <t>Tag (suggested)</t>
  </si>
  <si>
    <t>k_mode</t>
  </si>
  <si>
    <t>maxDist_m</t>
  </si>
  <si>
    <t>tail_e</t>
  </si>
  <si>
    <t>k_fixed</t>
  </si>
  <si>
    <t>slope_deg</t>
  </si>
  <si>
    <t>work_scale_m</t>
  </si>
  <si>
    <t>Purpose</t>
  </si>
  <si>
    <t>baseline</t>
  </si>
  <si>
    <t>tail_fixed</t>
  </si>
  <si>
    <t>—</t>
  </si>
  <si>
    <t>Reference scenario</t>
  </si>
  <si>
    <t>dist_25k</t>
  </si>
  <si>
    <t>Distance effect (+)</t>
  </si>
  <si>
    <t>dist_50k</t>
  </si>
  <si>
    <t>Distance effect (++)</t>
  </si>
  <si>
    <t>slope_10</t>
  </si>
  <si>
    <t>Obstacle threshold looser</t>
  </si>
  <si>
    <t>slope_30</t>
  </si>
  <si>
    <t>Obstacle threshold stricter</t>
  </si>
  <si>
    <t>Resolution finer</t>
  </si>
  <si>
    <t>res_500m</t>
  </si>
  <si>
    <t>Resolution coarser</t>
  </si>
  <si>
    <t>area_affected_km2</t>
  </si>
  <si>
    <t>area_valid_km2</t>
  </si>
  <si>
    <t>country_na</t>
  </si>
  <si>
    <t>fraction_affected</t>
  </si>
  <si>
    <t>image_label</t>
  </si>
  <si>
    <t>mean_thresh</t>
  </si>
  <si>
    <t>total_value_km2</t>
  </si>
  <si>
    <t>Chad</t>
  </si>
  <si>
    <t>ACD_HM</t>
  </si>
  <si>
    <t>Malawi</t>
  </si>
  <si>
    <t>Zambia</t>
  </si>
  <si>
    <t>Zimbabwe</t>
  </si>
  <si>
    <t>Botswana</t>
  </si>
  <si>
    <t>Namibia</t>
  </si>
  <si>
    <t>Angola</t>
  </si>
  <si>
    <t>Burundi</t>
  </si>
  <si>
    <t>Rwanda</t>
  </si>
  <si>
    <t>South Africa</t>
  </si>
  <si>
    <t>Lesotho</t>
  </si>
  <si>
    <t>Swaziland</t>
  </si>
  <si>
    <t>Mayotte</t>
  </si>
  <si>
    <t>Niger</t>
  </si>
  <si>
    <t>Sudan</t>
  </si>
  <si>
    <t>Libya</t>
  </si>
  <si>
    <t>Koualou Area</t>
  </si>
  <si>
    <t>Tunisia</t>
  </si>
  <si>
    <t>Egypt</t>
  </si>
  <si>
    <t>Bir Tawil</t>
  </si>
  <si>
    <t>Halaib Triangle</t>
  </si>
  <si>
    <t>Eritrea</t>
  </si>
  <si>
    <t>Ethiopia</t>
  </si>
  <si>
    <t>Djibouti</t>
  </si>
  <si>
    <t>Somalia</t>
  </si>
  <si>
    <t>South Sudan</t>
  </si>
  <si>
    <t>Abyei Area</t>
  </si>
  <si>
    <t>Kenya</t>
  </si>
  <si>
    <t>Uganda</t>
  </si>
  <si>
    <t>Tanzania</t>
  </si>
  <si>
    <t>Mozambique</t>
  </si>
  <si>
    <t>Comoros</t>
  </si>
  <si>
    <t>Madagascar</t>
  </si>
  <si>
    <t>Cabo Verde</t>
  </si>
  <si>
    <t>Western Sahara</t>
  </si>
  <si>
    <t>Mauritania</t>
  </si>
  <si>
    <t>Morocco</t>
  </si>
  <si>
    <t>Spain (Canary Is)</t>
  </si>
  <si>
    <t>Portugal (Madeira Is)</t>
  </si>
  <si>
    <t>Spain (Africa)</t>
  </si>
  <si>
    <t>Algeria</t>
  </si>
  <si>
    <t>Mali</t>
  </si>
  <si>
    <t>Burkina Faso</t>
  </si>
  <si>
    <t>Togo</t>
  </si>
  <si>
    <t>Ghana</t>
  </si>
  <si>
    <t>Cote d'Ivoire</t>
  </si>
  <si>
    <t>Guinea</t>
  </si>
  <si>
    <t>Senegal</t>
  </si>
  <si>
    <t>Gambia, The</t>
  </si>
  <si>
    <t>Guinea-Bissau</t>
  </si>
  <si>
    <t>Sierra Leone</t>
  </si>
  <si>
    <t>Liberia</t>
  </si>
  <si>
    <t>Benin</t>
  </si>
  <si>
    <t>Nigeria</t>
  </si>
  <si>
    <t>Cameroon</t>
  </si>
  <si>
    <t>Equatorial Guinea</t>
  </si>
  <si>
    <t>Sao Tome &amp; Principe</t>
  </si>
  <si>
    <t>Gabon</t>
  </si>
  <si>
    <t>Rep of the Congo</t>
  </si>
  <si>
    <t>Central African Rep</t>
  </si>
  <si>
    <t>Dem Rep of the Congo</t>
  </si>
  <si>
    <t>Country</t>
  </si>
  <si>
    <t>ACD_HM mean</t>
  </si>
  <si>
    <t>Run 1</t>
  </si>
  <si>
    <t>Run 2</t>
  </si>
  <si>
    <t>Run 3</t>
  </si>
  <si>
    <t>Run 4</t>
  </si>
  <si>
    <t>Run 5</t>
  </si>
  <si>
    <t>Run 6</t>
  </si>
  <si>
    <t>Run 7</t>
  </si>
  <si>
    <t>NA</t>
  </si>
  <si>
    <t>Geometric mean</t>
  </si>
  <si>
    <t>Standard deviation</t>
  </si>
  <si>
    <t>Median</t>
  </si>
  <si>
    <t>res_150m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</si>
</sst>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37AD-A64F-4417-9DB0-784EA4202DF1}">
  <dimension ref="A1:K72"/>
  <sheetViews>
    <sheetView tabSelected="1" workbookViewId="0">
      <selection activeCell="M13" sqref="M13"/>
    </sheetView>
  </sheetViews>
  <sheetFormatPr defaultRowHeight="14.4" x14ac:dyDescent="0.3"/>
  <cols>
    <col min="2" max="2" width="14.77734375" bestFit="1" customWidth="1"/>
    <col min="3" max="3" width="8.77734375" bestFit="1" customWidth="1"/>
    <col min="4" max="4" width="9.109375" bestFit="1" customWidth="1"/>
    <col min="5" max="5" width="6.88671875" bestFit="1" customWidth="1"/>
    <col min="6" max="6" width="9.109375" bestFit="1" customWidth="1"/>
    <col min="8" max="8" width="9.109375" bestFit="1" customWidth="1"/>
    <col min="9" max="9" width="24" bestFit="1" customWidth="1"/>
    <col min="10" max="10" width="16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>
        <v>1</v>
      </c>
      <c r="B2" t="s">
        <v>9</v>
      </c>
      <c r="C2" t="s">
        <v>10</v>
      </c>
      <c r="D2">
        <v>15000</v>
      </c>
      <c r="E2">
        <v>0.01</v>
      </c>
      <c r="F2" t="s">
        <v>11</v>
      </c>
      <c r="G2">
        <v>20</v>
      </c>
      <c r="H2">
        <v>250</v>
      </c>
      <c r="I2" t="s">
        <v>12</v>
      </c>
    </row>
    <row r="3" spans="1:11" x14ac:dyDescent="0.3">
      <c r="A3">
        <v>2</v>
      </c>
      <c r="B3" t="s">
        <v>13</v>
      </c>
      <c r="C3" t="s">
        <v>10</v>
      </c>
      <c r="D3">
        <v>25000</v>
      </c>
      <c r="E3">
        <v>0.01</v>
      </c>
      <c r="F3" t="s">
        <v>11</v>
      </c>
      <c r="G3">
        <v>20</v>
      </c>
      <c r="H3">
        <v>250</v>
      </c>
      <c r="I3" t="s">
        <v>14</v>
      </c>
    </row>
    <row r="4" spans="1:11" x14ac:dyDescent="0.3">
      <c r="A4">
        <v>3</v>
      </c>
      <c r="B4" t="s">
        <v>15</v>
      </c>
      <c r="C4" t="s">
        <v>10</v>
      </c>
      <c r="D4">
        <v>50000</v>
      </c>
      <c r="E4">
        <v>0.01</v>
      </c>
      <c r="F4" t="s">
        <v>11</v>
      </c>
      <c r="G4">
        <v>20</v>
      </c>
      <c r="H4">
        <v>250</v>
      </c>
      <c r="I4" t="s">
        <v>16</v>
      </c>
    </row>
    <row r="5" spans="1:11" x14ac:dyDescent="0.3">
      <c r="A5">
        <v>4</v>
      </c>
      <c r="B5" t="s">
        <v>17</v>
      </c>
      <c r="C5" t="s">
        <v>10</v>
      </c>
      <c r="D5">
        <v>15000</v>
      </c>
      <c r="E5">
        <v>0.01</v>
      </c>
      <c r="F5" t="s">
        <v>11</v>
      </c>
      <c r="G5">
        <v>10</v>
      </c>
      <c r="H5">
        <v>250</v>
      </c>
      <c r="I5" t="s">
        <v>18</v>
      </c>
    </row>
    <row r="6" spans="1:11" x14ac:dyDescent="0.3">
      <c r="A6">
        <v>5</v>
      </c>
      <c r="B6" t="s">
        <v>19</v>
      </c>
      <c r="C6" t="s">
        <v>10</v>
      </c>
      <c r="D6">
        <v>15000</v>
      </c>
      <c r="E6">
        <v>0.01</v>
      </c>
      <c r="F6" t="s">
        <v>11</v>
      </c>
      <c r="G6">
        <v>30</v>
      </c>
      <c r="H6">
        <v>250</v>
      </c>
      <c r="I6" t="s">
        <v>20</v>
      </c>
    </row>
    <row r="7" spans="1:11" x14ac:dyDescent="0.3">
      <c r="A7">
        <v>6</v>
      </c>
      <c r="B7" t="s">
        <v>106</v>
      </c>
      <c r="C7" t="s">
        <v>10</v>
      </c>
      <c r="D7">
        <v>15000</v>
      </c>
      <c r="E7">
        <v>0.01</v>
      </c>
      <c r="F7" t="s">
        <v>11</v>
      </c>
      <c r="G7">
        <v>20</v>
      </c>
      <c r="H7">
        <v>100</v>
      </c>
      <c r="I7" t="s">
        <v>21</v>
      </c>
    </row>
    <row r="8" spans="1:11" x14ac:dyDescent="0.3">
      <c r="A8">
        <v>7</v>
      </c>
      <c r="B8" t="s">
        <v>22</v>
      </c>
      <c r="C8" t="s">
        <v>10</v>
      </c>
      <c r="D8">
        <v>15000</v>
      </c>
      <c r="E8">
        <v>0.01</v>
      </c>
      <c r="F8" t="s">
        <v>11</v>
      </c>
      <c r="G8">
        <v>20</v>
      </c>
      <c r="H8">
        <v>500</v>
      </c>
      <c r="I8" t="s">
        <v>23</v>
      </c>
    </row>
    <row r="10" spans="1:11" x14ac:dyDescent="0.3">
      <c r="A10" s="2"/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101</v>
      </c>
      <c r="I10" s="2" t="s">
        <v>103</v>
      </c>
      <c r="J10" s="2" t="s">
        <v>104</v>
      </c>
      <c r="K10" s="2" t="s">
        <v>105</v>
      </c>
    </row>
    <row r="11" spans="1:11" x14ac:dyDescent="0.3">
      <c r="A11" s="2" t="s">
        <v>93</v>
      </c>
      <c r="B11" s="2" t="s">
        <v>94</v>
      </c>
      <c r="C11" s="2" t="s">
        <v>94</v>
      </c>
      <c r="D11" s="2" t="s">
        <v>94</v>
      </c>
      <c r="E11" s="2" t="s">
        <v>94</v>
      </c>
      <c r="F11" s="2" t="s">
        <v>94</v>
      </c>
      <c r="G11" s="2" t="s">
        <v>94</v>
      </c>
      <c r="H11" s="2" t="s">
        <v>94</v>
      </c>
      <c r="I11" s="3"/>
      <c r="J11" s="3"/>
      <c r="K11" s="3"/>
    </row>
    <row r="12" spans="1:11" x14ac:dyDescent="0.3">
      <c r="A12" s="3" t="s">
        <v>58</v>
      </c>
      <c r="B12" s="4">
        <v>0</v>
      </c>
      <c r="C12" s="4">
        <v>0</v>
      </c>
      <c r="D12" s="4">
        <v>8.2439724405634504E-2</v>
      </c>
      <c r="E12" s="4">
        <v>0</v>
      </c>
      <c r="F12" s="4">
        <v>0</v>
      </c>
      <c r="G12" s="4">
        <v>0</v>
      </c>
      <c r="H12" s="4">
        <v>0</v>
      </c>
      <c r="I12" s="4" t="s">
        <v>102</v>
      </c>
      <c r="J12" s="4">
        <f>_xlfn.STDEV.S(B12:I12)</f>
        <v>3.1159286990001572E-2</v>
      </c>
      <c r="K12" s="5">
        <f>MEDIAN(B12:I12)</f>
        <v>0</v>
      </c>
    </row>
    <row r="13" spans="1:11" x14ac:dyDescent="0.3">
      <c r="A13" s="3" t="s">
        <v>72</v>
      </c>
      <c r="B13" s="4">
        <v>0.44471892863630802</v>
      </c>
      <c r="C13" s="4">
        <v>0.43200623749936801</v>
      </c>
      <c r="D13" s="4">
        <v>0.42341645693089103</v>
      </c>
      <c r="E13" s="4">
        <v>0.448845737001623</v>
      </c>
      <c r="F13" s="4">
        <v>0.44425031633409601</v>
      </c>
      <c r="G13" s="4">
        <v>0.44401973690993402</v>
      </c>
      <c r="H13" s="4">
        <v>0.44517500564923701</v>
      </c>
      <c r="I13" s="4">
        <v>0.43964266475805941</v>
      </c>
      <c r="J13" s="4">
        <f t="shared" ref="J13:J72" si="0">_xlfn.STDEV.S(B13:I13)</f>
        <v>8.4517376858448817E-3</v>
      </c>
      <c r="K13" s="5">
        <f t="shared" ref="K13:K72" si="1">MEDIAN(B13:I13)</f>
        <v>0.44413502662201498</v>
      </c>
    </row>
    <row r="14" spans="1:11" x14ac:dyDescent="0.3">
      <c r="A14" s="3" t="s">
        <v>38</v>
      </c>
      <c r="B14" s="4">
        <v>0.36401645906811902</v>
      </c>
      <c r="C14" s="4">
        <v>0.36321575031884901</v>
      </c>
      <c r="D14" s="4">
        <v>0.369568015043581</v>
      </c>
      <c r="E14" s="4">
        <v>0.36766354186084699</v>
      </c>
      <c r="F14" s="4">
        <v>0.36375619672939902</v>
      </c>
      <c r="G14" s="4">
        <v>0.36382396432713399</v>
      </c>
      <c r="H14" s="4">
        <v>0.36472153835974502</v>
      </c>
      <c r="I14" s="4">
        <v>0.36548291058847376</v>
      </c>
      <c r="J14" s="4">
        <f t="shared" si="0"/>
        <v>2.2271399621638073E-3</v>
      </c>
      <c r="K14" s="5">
        <f t="shared" si="1"/>
        <v>0.36436899871393202</v>
      </c>
    </row>
    <row r="15" spans="1:11" x14ac:dyDescent="0.3">
      <c r="A15" s="3" t="s">
        <v>84</v>
      </c>
      <c r="B15" s="4">
        <v>0.44412036277963102</v>
      </c>
      <c r="C15" s="4">
        <v>0.42449299543785401</v>
      </c>
      <c r="D15" s="4">
        <v>0.41252577847010102</v>
      </c>
      <c r="E15" s="4">
        <v>0.44407197837868401</v>
      </c>
      <c r="F15" s="4">
        <v>0.44412132525916498</v>
      </c>
      <c r="G15" s="4">
        <v>0.44370889783058098</v>
      </c>
      <c r="H15" s="4">
        <v>0.44484776270059501</v>
      </c>
      <c r="I15" s="4">
        <v>0.4355099874025819</v>
      </c>
      <c r="J15" s="4">
        <f t="shared" si="0"/>
        <v>1.2040465312983526E-2</v>
      </c>
      <c r="K15" s="5">
        <f t="shared" si="1"/>
        <v>0.44389043810463247</v>
      </c>
    </row>
    <row r="16" spans="1:11" x14ac:dyDescent="0.3">
      <c r="A16" s="3" t="s">
        <v>51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 t="s">
        <v>102</v>
      </c>
      <c r="J16" s="4">
        <f t="shared" si="0"/>
        <v>0</v>
      </c>
      <c r="K16" s="5">
        <f t="shared" si="1"/>
        <v>0</v>
      </c>
    </row>
    <row r="17" spans="1:11" x14ac:dyDescent="0.3">
      <c r="A17" s="3" t="s">
        <v>36</v>
      </c>
      <c r="B17" s="4">
        <v>0.35997404673424699</v>
      </c>
      <c r="C17" s="4">
        <v>0.35606495682288603</v>
      </c>
      <c r="D17" s="4">
        <v>0.35709878938162298</v>
      </c>
      <c r="E17" s="4">
        <v>0.35966634998699498</v>
      </c>
      <c r="F17" s="4">
        <v>0.36003174043880498</v>
      </c>
      <c r="G17" s="4">
        <v>0.35975702360205303</v>
      </c>
      <c r="H17" s="4">
        <v>0.36102378745390901</v>
      </c>
      <c r="I17" s="4">
        <v>0.35897224367833058</v>
      </c>
      <c r="J17" s="4">
        <f t="shared" si="0"/>
        <v>1.6610054072848587E-3</v>
      </c>
      <c r="K17" s="5">
        <f t="shared" si="1"/>
        <v>0.35971168679452403</v>
      </c>
    </row>
    <row r="18" spans="1:11" x14ac:dyDescent="0.3">
      <c r="A18" s="3" t="s">
        <v>74</v>
      </c>
      <c r="B18" s="4">
        <v>0.45262689627526598</v>
      </c>
      <c r="C18" s="4">
        <v>0.45808217512549798</v>
      </c>
      <c r="D18" s="4">
        <v>0.46129842681048999</v>
      </c>
      <c r="E18" s="4">
        <v>0.45242981800613902</v>
      </c>
      <c r="F18" s="4">
        <v>0.45262760863565998</v>
      </c>
      <c r="G18" s="4">
        <v>0.45261695054491802</v>
      </c>
      <c r="H18" s="4">
        <v>0.45345470828808798</v>
      </c>
      <c r="I18" s="4">
        <v>0.45507395800068601</v>
      </c>
      <c r="J18" s="4">
        <f t="shared" si="0"/>
        <v>3.2668843212963349E-3</v>
      </c>
      <c r="K18" s="5">
        <f t="shared" si="1"/>
        <v>0.45304115846187398</v>
      </c>
    </row>
    <row r="19" spans="1:11" x14ac:dyDescent="0.3">
      <c r="A19" s="3" t="s">
        <v>39</v>
      </c>
      <c r="B19" s="4">
        <v>0.522116808690544</v>
      </c>
      <c r="C19" s="4">
        <v>0.52200656226194997</v>
      </c>
      <c r="D19" s="4">
        <v>0.54237949350415204</v>
      </c>
      <c r="E19" s="4">
        <v>0.564641491528169</v>
      </c>
      <c r="F19" s="4">
        <v>0.51792314912734705</v>
      </c>
      <c r="G19" s="4">
        <v>0.51825288463882102</v>
      </c>
      <c r="H19" s="4">
        <v>0.52065069958582899</v>
      </c>
      <c r="I19" s="4">
        <v>0.5313596566778469</v>
      </c>
      <c r="J19" s="4">
        <f t="shared" si="0"/>
        <v>1.6267283951109521E-2</v>
      </c>
      <c r="K19" s="5">
        <f t="shared" si="1"/>
        <v>0.52206168547624698</v>
      </c>
    </row>
    <row r="20" spans="1:11" x14ac:dyDescent="0.3">
      <c r="A20" s="3" t="s">
        <v>65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 t="s">
        <v>102</v>
      </c>
      <c r="J20" s="4">
        <f t="shared" si="0"/>
        <v>0</v>
      </c>
      <c r="K20" s="5">
        <f t="shared" si="1"/>
        <v>0</v>
      </c>
    </row>
    <row r="21" spans="1:11" x14ac:dyDescent="0.3">
      <c r="A21" s="3" t="s">
        <v>86</v>
      </c>
      <c r="B21" s="4">
        <v>0.44145045125576898</v>
      </c>
      <c r="C21" s="4">
        <v>0.43687908810610199</v>
      </c>
      <c r="D21" s="4">
        <v>0.442904532875665</v>
      </c>
      <c r="E21" s="4">
        <v>0.44480530996088502</v>
      </c>
      <c r="F21" s="4">
        <v>0.44079101372580398</v>
      </c>
      <c r="G21" s="4">
        <v>0.44137862077153001</v>
      </c>
      <c r="H21" s="4">
        <v>0.44137734902812698</v>
      </c>
      <c r="I21" s="4">
        <v>0.44136139882785502</v>
      </c>
      <c r="J21" s="4">
        <f t="shared" si="0"/>
        <v>2.2253833190092878E-3</v>
      </c>
      <c r="K21" s="5">
        <f t="shared" si="1"/>
        <v>0.44137798489982849</v>
      </c>
    </row>
    <row r="22" spans="1:11" x14ac:dyDescent="0.3">
      <c r="A22" s="3" t="s">
        <v>91</v>
      </c>
      <c r="B22" s="4">
        <v>0.33985465187137998</v>
      </c>
      <c r="C22" s="4">
        <v>0.33584204873114198</v>
      </c>
      <c r="D22" s="4">
        <v>0.33819710281631798</v>
      </c>
      <c r="E22" s="4">
        <v>0.33970115831286501</v>
      </c>
      <c r="F22" s="4">
        <v>0.33986064614851202</v>
      </c>
      <c r="G22" s="4">
        <v>0.33923011403073</v>
      </c>
      <c r="H22" s="4">
        <v>0.34188961394953499</v>
      </c>
      <c r="I22" s="4">
        <v>0.33921912619296707</v>
      </c>
      <c r="J22" s="4">
        <f t="shared" si="0"/>
        <v>1.7166574861473313E-3</v>
      </c>
      <c r="K22" s="5">
        <f t="shared" si="1"/>
        <v>0.33946563617179748</v>
      </c>
    </row>
    <row r="23" spans="1:11" x14ac:dyDescent="0.3">
      <c r="A23" s="3" t="s">
        <v>31</v>
      </c>
      <c r="B23" s="4">
        <v>0.33870813498807101</v>
      </c>
      <c r="C23" s="4">
        <v>0.33565493638341298</v>
      </c>
      <c r="D23" s="4">
        <v>0.33675954868075803</v>
      </c>
      <c r="E23" s="4">
        <v>0.33901082381992598</v>
      </c>
      <c r="F23" s="4">
        <v>0.338629185683954</v>
      </c>
      <c r="G23" s="4">
        <v>0.33805141242606801</v>
      </c>
      <c r="H23" s="4">
        <v>0.34008821453744797</v>
      </c>
      <c r="I23" s="4">
        <v>0.33813855022951034</v>
      </c>
      <c r="J23" s="4">
        <f t="shared" si="0"/>
        <v>1.3734319341566334E-3</v>
      </c>
      <c r="K23" s="5">
        <f t="shared" si="1"/>
        <v>0.33838386795673214</v>
      </c>
    </row>
    <row r="24" spans="1:11" x14ac:dyDescent="0.3">
      <c r="A24" s="3" t="s">
        <v>63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 t="s">
        <v>102</v>
      </c>
      <c r="J24" s="4">
        <f t="shared" si="0"/>
        <v>0</v>
      </c>
      <c r="K24" s="5">
        <f t="shared" si="1"/>
        <v>0</v>
      </c>
    </row>
    <row r="25" spans="1:11" x14ac:dyDescent="0.3">
      <c r="A25" s="3" t="s">
        <v>77</v>
      </c>
      <c r="B25" s="4">
        <v>0.44155435905065399</v>
      </c>
      <c r="C25" s="4">
        <v>0.44376224875154802</v>
      </c>
      <c r="D25" s="4">
        <v>0.46441954192503698</v>
      </c>
      <c r="E25" s="4">
        <v>0.44200486353051999</v>
      </c>
      <c r="F25" s="4">
        <v>0.44153593680436298</v>
      </c>
      <c r="G25" s="4">
        <v>0.44175684704613299</v>
      </c>
      <c r="H25" s="4">
        <v>0.44217481294265698</v>
      </c>
      <c r="I25" s="4">
        <v>0.44583280391235064</v>
      </c>
      <c r="J25" s="4">
        <f t="shared" si="0"/>
        <v>7.8333596611168607E-3</v>
      </c>
      <c r="K25" s="5">
        <f t="shared" si="1"/>
        <v>0.44208983823658848</v>
      </c>
    </row>
    <row r="26" spans="1:11" x14ac:dyDescent="0.3">
      <c r="A26" s="3" t="s">
        <v>92</v>
      </c>
      <c r="B26" s="4">
        <v>0.42723505335419398</v>
      </c>
      <c r="C26" s="4">
        <v>0.42151304971755199</v>
      </c>
      <c r="D26" s="4">
        <v>0.41628018046344201</v>
      </c>
      <c r="E26" s="4">
        <v>0.42755209871823302</v>
      </c>
      <c r="F26" s="4">
        <v>0.42701722103789203</v>
      </c>
      <c r="G26" s="4">
        <v>0.42925997040953201</v>
      </c>
      <c r="H26" s="4">
        <v>0.42602397934008102</v>
      </c>
      <c r="I26" s="4">
        <v>0.4242501641130294</v>
      </c>
      <c r="J26" s="4">
        <f t="shared" si="0"/>
        <v>4.1992486258277794E-3</v>
      </c>
      <c r="K26" s="5">
        <f t="shared" si="1"/>
        <v>0.42652060018898652</v>
      </c>
    </row>
    <row r="27" spans="1:11" x14ac:dyDescent="0.3">
      <c r="A27" s="3" t="s">
        <v>55</v>
      </c>
      <c r="B27" s="4">
        <v>0.39666870161806</v>
      </c>
      <c r="C27" s="4">
        <v>0.435070111103807</v>
      </c>
      <c r="D27" s="4">
        <v>0.45486603973314399</v>
      </c>
      <c r="E27" s="4">
        <v>0.40907949530328103</v>
      </c>
      <c r="F27" s="4">
        <v>0.39509793444802599</v>
      </c>
      <c r="G27" s="4">
        <v>0.39421831233640098</v>
      </c>
      <c r="H27" s="4">
        <v>0.39758380195725901</v>
      </c>
      <c r="I27" s="4">
        <v>0.41412868023547555</v>
      </c>
      <c r="J27" s="4">
        <f t="shared" si="0"/>
        <v>2.2127772363327657E-2</v>
      </c>
      <c r="K27" s="5">
        <f t="shared" si="1"/>
        <v>0.40333164863027005</v>
      </c>
    </row>
    <row r="28" spans="1:11" x14ac:dyDescent="0.3">
      <c r="A28" s="3" t="s">
        <v>50</v>
      </c>
      <c r="B28" s="4">
        <v>0.45709569334529498</v>
      </c>
      <c r="C28" s="4">
        <v>0.47543075359884601</v>
      </c>
      <c r="D28" s="4">
        <v>0.45695199554666299</v>
      </c>
      <c r="E28" s="4">
        <v>0.45798612286572898</v>
      </c>
      <c r="F28" s="4">
        <v>0.45699436074222</v>
      </c>
      <c r="G28" s="4">
        <v>0.45624138814714299</v>
      </c>
      <c r="H28" s="4">
        <v>0.45875120364965699</v>
      </c>
      <c r="I28" s="4">
        <v>0.46048719624124035</v>
      </c>
      <c r="J28" s="4">
        <f t="shared" si="0"/>
        <v>6.3790572461564802E-3</v>
      </c>
      <c r="K28" s="5">
        <f t="shared" si="1"/>
        <v>0.45754090810551196</v>
      </c>
    </row>
    <row r="29" spans="1:11" x14ac:dyDescent="0.3">
      <c r="A29" s="3" t="s">
        <v>87</v>
      </c>
      <c r="B29" s="4">
        <v>0.38201351729608501</v>
      </c>
      <c r="C29" s="4">
        <v>0.39745860954569301</v>
      </c>
      <c r="D29" s="4">
        <v>0.35688124252805298</v>
      </c>
      <c r="E29" s="4">
        <v>0.38171965687363502</v>
      </c>
      <c r="F29" s="4">
        <v>0.38201351729608501</v>
      </c>
      <c r="G29" s="4">
        <v>0.38141841309565699</v>
      </c>
      <c r="H29" s="4">
        <v>0.38081304936677901</v>
      </c>
      <c r="I29" s="4">
        <v>0.37996031565126448</v>
      </c>
      <c r="J29" s="4">
        <f t="shared" si="0"/>
        <v>1.103482405852233E-2</v>
      </c>
      <c r="K29" s="5">
        <f t="shared" si="1"/>
        <v>0.381569034984646</v>
      </c>
    </row>
    <row r="30" spans="1:11" x14ac:dyDescent="0.3">
      <c r="A30" s="3" t="s">
        <v>53</v>
      </c>
      <c r="B30" s="4">
        <v>0.33249713962400901</v>
      </c>
      <c r="C30" s="4">
        <v>0.33560641101216299</v>
      </c>
      <c r="D30" s="4">
        <v>0.32735112971317198</v>
      </c>
      <c r="E30" s="4">
        <v>0.333242823088573</v>
      </c>
      <c r="F30" s="4">
        <v>0.33249713962400901</v>
      </c>
      <c r="G30" s="4">
        <v>0.33075779944577799</v>
      </c>
      <c r="H30" s="4">
        <v>0.33287199378807403</v>
      </c>
      <c r="I30" s="4">
        <v>0.33233519032569603</v>
      </c>
      <c r="J30" s="4">
        <f t="shared" si="0"/>
        <v>2.3575046242508228E-3</v>
      </c>
      <c r="K30" s="5">
        <f t="shared" si="1"/>
        <v>0.33249713962400901</v>
      </c>
    </row>
    <row r="31" spans="1:11" x14ac:dyDescent="0.3">
      <c r="A31" s="3" t="s">
        <v>54</v>
      </c>
      <c r="B31" s="4">
        <v>0.45497509657961999</v>
      </c>
      <c r="C31" s="4">
        <v>0.456127305701375</v>
      </c>
      <c r="D31" s="4">
        <v>0.46675238750186898</v>
      </c>
      <c r="E31" s="4">
        <v>0.467739859060323</v>
      </c>
      <c r="F31" s="4">
        <v>0.45084743112507802</v>
      </c>
      <c r="G31" s="4">
        <v>0.45255709569154201</v>
      </c>
      <c r="H31" s="4">
        <v>0.45030642153099698</v>
      </c>
      <c r="I31" s="4">
        <v>0.45773809828373857</v>
      </c>
      <c r="J31" s="4">
        <f t="shared" si="0"/>
        <v>6.7413604555801214E-3</v>
      </c>
      <c r="K31" s="5">
        <f t="shared" si="1"/>
        <v>0.45555120114049752</v>
      </c>
    </row>
    <row r="32" spans="1:11" x14ac:dyDescent="0.3">
      <c r="A32" s="3" t="s">
        <v>89</v>
      </c>
      <c r="B32" s="4">
        <v>0.358737128001894</v>
      </c>
      <c r="C32" s="4">
        <v>0.35150994886624398</v>
      </c>
      <c r="D32" s="4">
        <v>0.33101748512131701</v>
      </c>
      <c r="E32" s="4">
        <v>0.362052736931744</v>
      </c>
      <c r="F32" s="4">
        <v>0.35847918659181099</v>
      </c>
      <c r="G32" s="4">
        <v>0.36030121600989101</v>
      </c>
      <c r="H32" s="4">
        <v>0.35830576620003401</v>
      </c>
      <c r="I32" s="4">
        <v>0.35319055144316353</v>
      </c>
      <c r="J32" s="4">
        <f t="shared" si="0"/>
        <v>1.0002349379171995E-2</v>
      </c>
      <c r="K32" s="5">
        <f t="shared" si="1"/>
        <v>0.35839247639592253</v>
      </c>
    </row>
    <row r="33" spans="1:11" x14ac:dyDescent="0.3">
      <c r="A33" s="3" t="s">
        <v>80</v>
      </c>
      <c r="B33" s="4">
        <v>0.63165376340851498</v>
      </c>
      <c r="C33" s="4">
        <v>0.593442143717403</v>
      </c>
      <c r="D33" s="4">
        <v>0.44125577060603299</v>
      </c>
      <c r="E33" s="4">
        <v>0.63165376340851498</v>
      </c>
      <c r="F33" s="4">
        <v>0.63165376340851498</v>
      </c>
      <c r="G33" s="4">
        <v>0.63300651384930595</v>
      </c>
      <c r="H33" s="4">
        <v>0.632139993072665</v>
      </c>
      <c r="I33" s="4">
        <v>0.58891581747851918</v>
      </c>
      <c r="J33" s="4">
        <f t="shared" si="0"/>
        <v>6.5966184729723557E-2</v>
      </c>
      <c r="K33" s="5">
        <f t="shared" si="1"/>
        <v>0.63165376340851498</v>
      </c>
    </row>
    <row r="34" spans="1:11" x14ac:dyDescent="0.3">
      <c r="A34" s="3" t="s">
        <v>76</v>
      </c>
      <c r="B34" s="4">
        <v>0.49178051214792001</v>
      </c>
      <c r="C34" s="4">
        <v>0.48697158453602202</v>
      </c>
      <c r="D34" s="4">
        <v>0.49632090867666501</v>
      </c>
      <c r="E34" s="4">
        <v>0.50174669707117703</v>
      </c>
      <c r="F34" s="4">
        <v>0.49068409164622501</v>
      </c>
      <c r="G34" s="4">
        <v>0.49094866932268699</v>
      </c>
      <c r="H34" s="4">
        <v>0.49111522365950899</v>
      </c>
      <c r="I34" s="4">
        <v>0.49308058273167626</v>
      </c>
      <c r="J34" s="4">
        <f t="shared" si="0"/>
        <v>4.4443215034634283E-3</v>
      </c>
      <c r="K34" s="5">
        <f t="shared" si="1"/>
        <v>0.49144786790371453</v>
      </c>
    </row>
    <row r="35" spans="1:11" x14ac:dyDescent="0.3">
      <c r="A35" s="3" t="s">
        <v>78</v>
      </c>
      <c r="B35" s="4">
        <v>0.41428034737748298</v>
      </c>
      <c r="C35" s="4">
        <v>0.42558724287084498</v>
      </c>
      <c r="D35" s="4">
        <v>0.455046676762418</v>
      </c>
      <c r="E35" s="4">
        <v>0.42052814015182399</v>
      </c>
      <c r="F35" s="4">
        <v>0.41559318878748702</v>
      </c>
      <c r="G35" s="4">
        <v>0.415939824803358</v>
      </c>
      <c r="H35" s="4">
        <v>0.41637418578163599</v>
      </c>
      <c r="I35" s="4">
        <v>0.424340379100756</v>
      </c>
      <c r="J35" s="4">
        <f t="shared" si="0"/>
        <v>1.3440496946807965E-2</v>
      </c>
      <c r="K35" s="5">
        <f t="shared" si="1"/>
        <v>0.41845116296673002</v>
      </c>
    </row>
    <row r="36" spans="1:11" x14ac:dyDescent="0.3">
      <c r="A36" s="3" t="s">
        <v>81</v>
      </c>
      <c r="B36" s="4">
        <v>0.455260330473576</v>
      </c>
      <c r="C36" s="4">
        <v>0.44113801495128901</v>
      </c>
      <c r="D36" s="4">
        <v>0.43983372720706099</v>
      </c>
      <c r="E36" s="4">
        <v>0.455260330473576</v>
      </c>
      <c r="F36" s="4">
        <v>0.455260330473576</v>
      </c>
      <c r="G36" s="4">
        <v>0.45566368305583599</v>
      </c>
      <c r="H36" s="4">
        <v>0.45569648321954198</v>
      </c>
      <c r="I36" s="4">
        <v>0.45035295809960879</v>
      </c>
      <c r="J36" s="4">
        <f t="shared" si="0"/>
        <v>6.767507179403995E-3</v>
      </c>
      <c r="K36" s="5">
        <f t="shared" si="1"/>
        <v>0.455260330473576</v>
      </c>
    </row>
    <row r="37" spans="1:11" x14ac:dyDescent="0.3">
      <c r="A37" s="3" t="s">
        <v>52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 t="s">
        <v>102</v>
      </c>
      <c r="J37" s="4">
        <f t="shared" si="0"/>
        <v>0</v>
      </c>
      <c r="K37" s="5">
        <f t="shared" si="1"/>
        <v>0</v>
      </c>
    </row>
    <row r="38" spans="1:11" x14ac:dyDescent="0.3">
      <c r="A38" s="3" t="s">
        <v>59</v>
      </c>
      <c r="B38" s="4">
        <v>0.45872071580941898</v>
      </c>
      <c r="C38" s="4">
        <v>0.46540600252456399</v>
      </c>
      <c r="D38" s="4">
        <v>0.48799793492114002</v>
      </c>
      <c r="E38" s="4">
        <v>0.461207019054926</v>
      </c>
      <c r="F38" s="4">
        <v>0.45795255456568101</v>
      </c>
      <c r="G38" s="4">
        <v>0.45804196055510299</v>
      </c>
      <c r="H38" s="4">
        <v>0.45840108552146802</v>
      </c>
      <c r="I38" s="4">
        <v>0.46482918871264811</v>
      </c>
      <c r="J38" s="4">
        <f t="shared" si="0"/>
        <v>1.0125045531268769E-2</v>
      </c>
      <c r="K38" s="5">
        <f t="shared" si="1"/>
        <v>0.45996386743217249</v>
      </c>
    </row>
    <row r="39" spans="1:11" x14ac:dyDescent="0.3">
      <c r="A39" s="3" t="s">
        <v>48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 t="s">
        <v>102</v>
      </c>
      <c r="J39" s="4">
        <f t="shared" si="0"/>
        <v>0</v>
      </c>
      <c r="K39" s="5">
        <f t="shared" si="1"/>
        <v>0</v>
      </c>
    </row>
    <row r="40" spans="1:11" x14ac:dyDescent="0.3">
      <c r="A40" s="3" t="s">
        <v>42</v>
      </c>
      <c r="B40" s="4">
        <v>0.55498581120080603</v>
      </c>
      <c r="C40" s="4">
        <v>0.50933356477784397</v>
      </c>
      <c r="D40" s="4">
        <v>0.44537522552890102</v>
      </c>
      <c r="E40" s="4">
        <v>0.57310445849989</v>
      </c>
      <c r="F40" s="4">
        <v>0.551709516323585</v>
      </c>
      <c r="G40" s="4">
        <v>0.55224927416736602</v>
      </c>
      <c r="H40" s="4">
        <v>0.55141505078187103</v>
      </c>
      <c r="I40" s="4">
        <v>0.5291419397585313</v>
      </c>
      <c r="J40" s="4">
        <f t="shared" si="0"/>
        <v>4.0361138492246124E-2</v>
      </c>
      <c r="K40" s="5">
        <f t="shared" si="1"/>
        <v>0.55156228355272807</v>
      </c>
    </row>
    <row r="41" spans="1:11" x14ac:dyDescent="0.3">
      <c r="A41" s="3" t="s">
        <v>83</v>
      </c>
      <c r="B41" s="4">
        <v>0.42046622335665701</v>
      </c>
      <c r="C41" s="4">
        <v>0.433683794597165</v>
      </c>
      <c r="D41" s="4">
        <v>0.45342978578820098</v>
      </c>
      <c r="E41" s="4">
        <v>0.42228162900004801</v>
      </c>
      <c r="F41" s="4">
        <v>0.42038529303625699</v>
      </c>
      <c r="G41" s="4">
        <v>0.42185147798464201</v>
      </c>
      <c r="H41" s="4">
        <v>0.42007545846213501</v>
      </c>
      <c r="I41" s="4">
        <v>0.42821830459896115</v>
      </c>
      <c r="J41" s="4">
        <f t="shared" si="0"/>
        <v>1.1498098888430498E-2</v>
      </c>
      <c r="K41" s="5">
        <f t="shared" si="1"/>
        <v>0.42206655349234501</v>
      </c>
    </row>
    <row r="42" spans="1:11" x14ac:dyDescent="0.3">
      <c r="A42" s="3" t="s">
        <v>47</v>
      </c>
      <c r="B42" s="4">
        <v>0.41620248863733</v>
      </c>
      <c r="C42" s="4">
        <v>0.40696689037277101</v>
      </c>
      <c r="D42" s="4">
        <v>0.39725908116286202</v>
      </c>
      <c r="E42" s="4">
        <v>0.41630732394509901</v>
      </c>
      <c r="F42" s="4">
        <v>0.41620149771710702</v>
      </c>
      <c r="G42" s="4">
        <v>0.416049610676619</v>
      </c>
      <c r="H42" s="4">
        <v>0.416727548046674</v>
      </c>
      <c r="I42" s="4">
        <v>0.41154555388112068</v>
      </c>
      <c r="J42" s="4">
        <f t="shared" si="0"/>
        <v>6.9204721583021956E-3</v>
      </c>
      <c r="K42" s="5">
        <f t="shared" si="1"/>
        <v>0.41612555419686303</v>
      </c>
    </row>
    <row r="43" spans="1:11" x14ac:dyDescent="0.3">
      <c r="A43" s="3" t="s">
        <v>64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 t="s">
        <v>102</v>
      </c>
      <c r="J43" s="4">
        <f t="shared" si="0"/>
        <v>0</v>
      </c>
      <c r="K43" s="5">
        <f t="shared" si="1"/>
        <v>0</v>
      </c>
    </row>
    <row r="44" spans="1:11" x14ac:dyDescent="0.3">
      <c r="A44" s="3" t="s">
        <v>33</v>
      </c>
      <c r="B44" s="4">
        <v>0.50739117810120105</v>
      </c>
      <c r="C44" s="4">
        <v>0.50627928961398805</v>
      </c>
      <c r="D44" s="4">
        <v>0.53492542754966799</v>
      </c>
      <c r="E44" s="4">
        <v>0.519030910139057</v>
      </c>
      <c r="F44" s="4">
        <v>0.505968650593</v>
      </c>
      <c r="G44" s="4">
        <v>0.50647861792498095</v>
      </c>
      <c r="H44" s="4">
        <v>0.50719461049722603</v>
      </c>
      <c r="I44" s="4">
        <v>0.51335716708837653</v>
      </c>
      <c r="J44" s="4">
        <f t="shared" si="0"/>
        <v>1.0128449225746477E-2</v>
      </c>
      <c r="K44" s="5">
        <f t="shared" si="1"/>
        <v>0.50729289429921354</v>
      </c>
    </row>
    <row r="45" spans="1:11" x14ac:dyDescent="0.3">
      <c r="A45" s="3" t="s">
        <v>73</v>
      </c>
      <c r="B45" s="4">
        <v>0.394053130422438</v>
      </c>
      <c r="C45" s="4">
        <v>0.39038244423959301</v>
      </c>
      <c r="D45" s="4">
        <v>0.39941269829393</v>
      </c>
      <c r="E45" s="4">
        <v>0.39524948010647898</v>
      </c>
      <c r="F45" s="4">
        <v>0.39403471769009002</v>
      </c>
      <c r="G45" s="4">
        <v>0.39394828254004299</v>
      </c>
      <c r="H45" s="4">
        <v>0.39509394638971601</v>
      </c>
      <c r="I45" s="4">
        <v>0.39469550764629013</v>
      </c>
      <c r="J45" s="4">
        <f t="shared" si="0"/>
        <v>2.4688777252142554E-3</v>
      </c>
      <c r="K45" s="5">
        <f t="shared" si="1"/>
        <v>0.39437431903436404</v>
      </c>
    </row>
    <row r="46" spans="1:11" x14ac:dyDescent="0.3">
      <c r="A46" s="3" t="s">
        <v>67</v>
      </c>
      <c r="B46" s="4">
        <v>0.34873931881097803</v>
      </c>
      <c r="C46" s="4">
        <v>0.34681630071034603</v>
      </c>
      <c r="D46" s="4">
        <v>0.344171153226971</v>
      </c>
      <c r="E46" s="4">
        <v>0.34873931881097803</v>
      </c>
      <c r="F46" s="4">
        <v>0.34873931881097803</v>
      </c>
      <c r="G46" s="4">
        <v>0.34806881297498499</v>
      </c>
      <c r="H46" s="4">
        <v>0.35012158856757303</v>
      </c>
      <c r="I46" s="4">
        <v>0.34788251458043035</v>
      </c>
      <c r="J46" s="4">
        <f t="shared" si="0"/>
        <v>1.7790672937790051E-3</v>
      </c>
      <c r="K46" s="5">
        <f t="shared" si="1"/>
        <v>0.34840406589298151</v>
      </c>
    </row>
    <row r="47" spans="1:11" x14ac:dyDescent="0.3">
      <c r="A47" s="3" t="s">
        <v>44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 t="s">
        <v>102</v>
      </c>
      <c r="J47" s="4">
        <f t="shared" si="0"/>
        <v>0</v>
      </c>
      <c r="K47" s="5">
        <f t="shared" si="1"/>
        <v>0</v>
      </c>
    </row>
    <row r="48" spans="1:11" x14ac:dyDescent="0.3">
      <c r="A48" s="3" t="s">
        <v>68</v>
      </c>
      <c r="B48" s="4">
        <v>0.49012816523555802</v>
      </c>
      <c r="C48" s="4">
        <v>0.47710332291191898</v>
      </c>
      <c r="D48" s="4">
        <v>0.472902441977191</v>
      </c>
      <c r="E48" s="4">
        <v>0.50206065545364698</v>
      </c>
      <c r="F48" s="4">
        <v>0.489009547769168</v>
      </c>
      <c r="G48" s="4">
        <v>0.489433026269811</v>
      </c>
      <c r="H48" s="4">
        <v>0.48833085408139898</v>
      </c>
      <c r="I48" s="4">
        <v>0.48649706558687095</v>
      </c>
      <c r="J48" s="4">
        <f t="shared" si="0"/>
        <v>8.8256150508565293E-3</v>
      </c>
      <c r="K48" s="5">
        <f t="shared" si="1"/>
        <v>0.48867020092528346</v>
      </c>
    </row>
    <row r="49" spans="1:11" x14ac:dyDescent="0.3">
      <c r="A49" s="3" t="s">
        <v>62</v>
      </c>
      <c r="B49" s="4">
        <v>0.39682220519324302</v>
      </c>
      <c r="C49" s="4">
        <v>0.38802273508840801</v>
      </c>
      <c r="D49" s="4">
        <v>0.37860972800554499</v>
      </c>
      <c r="E49" s="4">
        <v>0.39893595326360198</v>
      </c>
      <c r="F49" s="4">
        <v>0.39640089309919402</v>
      </c>
      <c r="G49" s="4">
        <v>0.39803669910127498</v>
      </c>
      <c r="H49" s="4">
        <v>0.39552587496563002</v>
      </c>
      <c r="I49" s="4">
        <v>0.39232224611226729</v>
      </c>
      <c r="J49" s="4">
        <f t="shared" si="0"/>
        <v>6.8181953576399671E-3</v>
      </c>
      <c r="K49" s="5">
        <f t="shared" si="1"/>
        <v>0.39596338403241205</v>
      </c>
    </row>
    <row r="50" spans="1:11" x14ac:dyDescent="0.3">
      <c r="A50" s="3" t="s">
        <v>37</v>
      </c>
      <c r="B50" s="4">
        <v>0.41556660544722102</v>
      </c>
      <c r="C50" s="4">
        <v>0.420679842649608</v>
      </c>
      <c r="D50" s="4">
        <v>0.44135850985302</v>
      </c>
      <c r="E50" s="4">
        <v>0.41681111902051898</v>
      </c>
      <c r="F50" s="4">
        <v>0.41511888686450799</v>
      </c>
      <c r="G50" s="4">
        <v>0.41502430062918699</v>
      </c>
      <c r="H50" s="4">
        <v>0.41592914338977899</v>
      </c>
      <c r="I50" s="4">
        <v>0.42080978660841772</v>
      </c>
      <c r="J50" s="4">
        <f t="shared" si="0"/>
        <v>8.8807326940830468E-3</v>
      </c>
      <c r="K50" s="5">
        <f t="shared" si="1"/>
        <v>0.41637013120514899</v>
      </c>
    </row>
    <row r="51" spans="1:11" x14ac:dyDescent="0.3">
      <c r="A51" s="3" t="s">
        <v>45</v>
      </c>
      <c r="B51" s="4">
        <v>0.35508607095217498</v>
      </c>
      <c r="C51" s="4">
        <v>0.352514907019912</v>
      </c>
      <c r="D51" s="4">
        <v>0.35503828797466602</v>
      </c>
      <c r="E51" s="4">
        <v>0.35508245347165202</v>
      </c>
      <c r="F51" s="4">
        <v>0.35508607095217498</v>
      </c>
      <c r="G51" s="4">
        <v>0.35477936662473403</v>
      </c>
      <c r="H51" s="4">
        <v>0.355754643245494</v>
      </c>
      <c r="I51" s="4">
        <v>0.35475889211389633</v>
      </c>
      <c r="J51" s="4">
        <f t="shared" si="0"/>
        <v>9.5798489526179606E-4</v>
      </c>
      <c r="K51" s="5">
        <f t="shared" si="1"/>
        <v>0.35506037072315899</v>
      </c>
    </row>
    <row r="52" spans="1:11" x14ac:dyDescent="0.3">
      <c r="A52" s="3" t="s">
        <v>85</v>
      </c>
      <c r="B52" s="4">
        <v>0.49289742429585798</v>
      </c>
      <c r="C52" s="4">
        <v>0.47698886914974697</v>
      </c>
      <c r="D52" s="4">
        <v>0.46705667532052098</v>
      </c>
      <c r="E52" s="4">
        <v>0.49303859071261902</v>
      </c>
      <c r="F52" s="4">
        <v>0.49289561580790903</v>
      </c>
      <c r="G52" s="4">
        <v>0.493193578766219</v>
      </c>
      <c r="H52" s="4">
        <v>0.49329016809088599</v>
      </c>
      <c r="I52" s="4">
        <v>0.48591702706587359</v>
      </c>
      <c r="J52" s="4">
        <f t="shared" si="0"/>
        <v>9.8777940734284114E-3</v>
      </c>
      <c r="K52" s="5">
        <f t="shared" si="1"/>
        <v>0.4928965200518835</v>
      </c>
    </row>
    <row r="53" spans="1:11" x14ac:dyDescent="0.3">
      <c r="A53" s="3" t="s">
        <v>70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 t="s">
        <v>102</v>
      </c>
      <c r="J53" s="4">
        <f t="shared" si="0"/>
        <v>0</v>
      </c>
      <c r="K53" s="5">
        <f t="shared" si="1"/>
        <v>0</v>
      </c>
    </row>
    <row r="54" spans="1:11" x14ac:dyDescent="0.3">
      <c r="A54" s="3" t="s">
        <v>90</v>
      </c>
      <c r="B54" s="4">
        <v>0.41258574557359001</v>
      </c>
      <c r="C54" s="4">
        <v>0.41640938438390701</v>
      </c>
      <c r="D54" s="4">
        <v>0.42890119751120298</v>
      </c>
      <c r="E54" s="4">
        <v>0.41360734606410599</v>
      </c>
      <c r="F54" s="4">
        <v>0.41259099347851802</v>
      </c>
      <c r="G54" s="4">
        <v>0.413345008747802</v>
      </c>
      <c r="H54" s="4">
        <v>0.41255226579841903</v>
      </c>
      <c r="I54" s="4">
        <v>0.4160668916873132</v>
      </c>
      <c r="J54" s="4">
        <f t="shared" si="0"/>
        <v>5.530190548654528E-3</v>
      </c>
      <c r="K54" s="5">
        <f t="shared" si="1"/>
        <v>0.41347617740595399</v>
      </c>
    </row>
    <row r="55" spans="1:11" x14ac:dyDescent="0.3">
      <c r="A55" s="3" t="s">
        <v>40</v>
      </c>
      <c r="B55" s="4">
        <v>0.58188079714298802</v>
      </c>
      <c r="C55" s="4">
        <v>0.56382194673997399</v>
      </c>
      <c r="D55" s="4">
        <v>0.55485204079852102</v>
      </c>
      <c r="E55" s="4">
        <v>0.62215951454593399</v>
      </c>
      <c r="F55" s="4">
        <v>0.57682922814652904</v>
      </c>
      <c r="G55" s="4">
        <v>0.577969279970176</v>
      </c>
      <c r="H55" s="4">
        <v>0.57731421649411696</v>
      </c>
      <c r="I55" s="4">
        <v>0.57909845710803265</v>
      </c>
      <c r="J55" s="4">
        <f t="shared" si="0"/>
        <v>1.9613052074798992E-2</v>
      </c>
      <c r="K55" s="5">
        <f t="shared" si="1"/>
        <v>0.57764174823214653</v>
      </c>
    </row>
    <row r="56" spans="1:11" x14ac:dyDescent="0.3">
      <c r="A56" s="3" t="s">
        <v>88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 t="s">
        <v>102</v>
      </c>
      <c r="J56" s="4">
        <f t="shared" si="0"/>
        <v>0</v>
      </c>
      <c r="K56" s="5">
        <f t="shared" si="1"/>
        <v>0</v>
      </c>
    </row>
    <row r="57" spans="1:11" x14ac:dyDescent="0.3">
      <c r="A57" s="3" t="s">
        <v>79</v>
      </c>
      <c r="B57" s="4">
        <v>0.51075040349506196</v>
      </c>
      <c r="C57" s="4">
        <v>0.51665138935730404</v>
      </c>
      <c r="D57" s="4">
        <v>0.52640472082629897</v>
      </c>
      <c r="E57" s="4">
        <v>0.51075267347818698</v>
      </c>
      <c r="F57" s="4">
        <v>0.51075040349506196</v>
      </c>
      <c r="G57" s="4">
        <v>0.51116567735329299</v>
      </c>
      <c r="H57" s="4">
        <v>0.51015667304955203</v>
      </c>
      <c r="I57" s="4">
        <v>0.51421116914881304</v>
      </c>
      <c r="J57" s="4">
        <f t="shared" si="0"/>
        <v>5.5453157684723052E-3</v>
      </c>
      <c r="K57" s="5">
        <f t="shared" si="1"/>
        <v>0.51095917541573999</v>
      </c>
    </row>
    <row r="58" spans="1:11" x14ac:dyDescent="0.3">
      <c r="A58" s="3" t="s">
        <v>82</v>
      </c>
      <c r="B58" s="4">
        <v>0.43541117674318602</v>
      </c>
      <c r="C58" s="4">
        <v>0.44075414416709102</v>
      </c>
      <c r="D58" s="4">
        <v>0.44901813521408601</v>
      </c>
      <c r="E58" s="4">
        <v>0.43569400354553001</v>
      </c>
      <c r="F58" s="4">
        <v>0.43538612166912199</v>
      </c>
      <c r="G58" s="4">
        <v>0.43521353384037698</v>
      </c>
      <c r="H58" s="4">
        <v>0.43621571983358698</v>
      </c>
      <c r="I58" s="4">
        <v>0.43871877714864721</v>
      </c>
      <c r="J58" s="4">
        <f t="shared" si="0"/>
        <v>4.7595663807419031E-3</v>
      </c>
      <c r="K58" s="5">
        <f t="shared" si="1"/>
        <v>0.43595486168955849</v>
      </c>
    </row>
    <row r="59" spans="1:11" x14ac:dyDescent="0.3">
      <c r="A59" s="3" t="s">
        <v>56</v>
      </c>
      <c r="B59" s="4">
        <v>0.34667531601080698</v>
      </c>
      <c r="C59" s="4">
        <v>0.32764964156371501</v>
      </c>
      <c r="D59" s="4">
        <v>0.29262621177222597</v>
      </c>
      <c r="E59" s="4">
        <v>0.34862611039649199</v>
      </c>
      <c r="F59" s="4">
        <v>0.34650308378082401</v>
      </c>
      <c r="G59" s="4">
        <v>0.34605790511831902</v>
      </c>
      <c r="H59" s="4">
        <v>0.34847226535333198</v>
      </c>
      <c r="I59" s="4">
        <v>0.33443637900360285</v>
      </c>
      <c r="J59" s="4">
        <f t="shared" si="0"/>
        <v>1.9245456254119005E-2</v>
      </c>
      <c r="K59" s="5">
        <f t="shared" si="1"/>
        <v>0.34628049444957154</v>
      </c>
    </row>
    <row r="60" spans="1:11" x14ac:dyDescent="0.3">
      <c r="A60" s="3" t="s">
        <v>41</v>
      </c>
      <c r="B60" s="4">
        <v>0.42383964008875402</v>
      </c>
      <c r="C60" s="4">
        <v>0.42098546032018302</v>
      </c>
      <c r="D60" s="4">
        <v>0.42692276414573999</v>
      </c>
      <c r="E60" s="4">
        <v>0.43173981574502202</v>
      </c>
      <c r="F60" s="4">
        <v>0.42256229893873398</v>
      </c>
      <c r="G60" s="4">
        <v>0.42216559953007998</v>
      </c>
      <c r="H60" s="4">
        <v>0.42395552033920397</v>
      </c>
      <c r="I60" s="4">
        <v>0.42498655171284694</v>
      </c>
      <c r="J60" s="4">
        <f t="shared" si="0"/>
        <v>3.3941665229886018E-3</v>
      </c>
      <c r="K60" s="5">
        <f t="shared" si="1"/>
        <v>0.423897580213979</v>
      </c>
    </row>
    <row r="61" spans="1:11" x14ac:dyDescent="0.3">
      <c r="A61" s="3" t="s">
        <v>57</v>
      </c>
      <c r="B61" s="4">
        <v>0.29725254743484703</v>
      </c>
      <c r="C61" s="4">
        <v>0.29447564947920601</v>
      </c>
      <c r="D61" s="4">
        <v>0.29343803960249898</v>
      </c>
      <c r="E61" s="4">
        <v>0.29746086339317002</v>
      </c>
      <c r="F61" s="4">
        <v>0.29736759743083702</v>
      </c>
      <c r="G61" s="4">
        <v>0.29669760633366699</v>
      </c>
      <c r="H61" s="4">
        <v>0.299211212395318</v>
      </c>
      <c r="I61" s="4">
        <v>0.29652782677178446</v>
      </c>
      <c r="J61" s="4">
        <f t="shared" si="0"/>
        <v>1.8159273929373267E-3</v>
      </c>
      <c r="K61" s="5">
        <f t="shared" si="1"/>
        <v>0.29697507688425701</v>
      </c>
    </row>
    <row r="62" spans="1:11" x14ac:dyDescent="0.3">
      <c r="A62" s="3" t="s">
        <v>71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 t="s">
        <v>102</v>
      </c>
      <c r="J62" s="4">
        <f t="shared" si="0"/>
        <v>0</v>
      </c>
      <c r="K62" s="5">
        <f t="shared" si="1"/>
        <v>0</v>
      </c>
    </row>
    <row r="63" spans="1:11" x14ac:dyDescent="0.3">
      <c r="A63" s="3" t="s">
        <v>69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 t="s">
        <v>102</v>
      </c>
      <c r="J63" s="4">
        <f t="shared" si="0"/>
        <v>0</v>
      </c>
      <c r="K63" s="5">
        <f t="shared" si="1"/>
        <v>0</v>
      </c>
    </row>
    <row r="64" spans="1:11" x14ac:dyDescent="0.3">
      <c r="A64" s="3" t="s">
        <v>46</v>
      </c>
      <c r="B64" s="4">
        <v>0.393350623568331</v>
      </c>
      <c r="C64" s="4">
        <v>0.38771891490511301</v>
      </c>
      <c r="D64" s="4">
        <v>0.38416192535773702</v>
      </c>
      <c r="E64" s="4">
        <v>0.39385862605240002</v>
      </c>
      <c r="F64" s="4">
        <v>0.393297440335519</v>
      </c>
      <c r="G64" s="4">
        <v>0.393003062951789</v>
      </c>
      <c r="H64" s="4">
        <v>0.39471978419783799</v>
      </c>
      <c r="I64" s="4">
        <v>0.39116523934678371</v>
      </c>
      <c r="J64" s="4">
        <f t="shared" si="0"/>
        <v>3.6456498926106858E-3</v>
      </c>
      <c r="K64" s="5">
        <f t="shared" si="1"/>
        <v>0.39315025164365403</v>
      </c>
    </row>
    <row r="65" spans="1:11" x14ac:dyDescent="0.3">
      <c r="A65" s="3" t="s">
        <v>43</v>
      </c>
      <c r="B65" s="4">
        <v>0.41947367911936101</v>
      </c>
      <c r="C65" s="4">
        <v>0.38714413284584198</v>
      </c>
      <c r="D65" s="4">
        <v>0.37040575133320103</v>
      </c>
      <c r="E65" s="4">
        <v>0.439988827151572</v>
      </c>
      <c r="F65" s="4">
        <v>0.41839131861030299</v>
      </c>
      <c r="G65" s="4">
        <v>0.41907242725688698</v>
      </c>
      <c r="H65" s="4">
        <v>0.41854737290941602</v>
      </c>
      <c r="I65" s="4">
        <v>0.40832315522920221</v>
      </c>
      <c r="J65" s="4">
        <f t="shared" si="0"/>
        <v>2.1737201190207292E-2</v>
      </c>
      <c r="K65" s="5">
        <f t="shared" si="1"/>
        <v>0.4184693457598595</v>
      </c>
    </row>
    <row r="66" spans="1:11" x14ac:dyDescent="0.3">
      <c r="A66" s="3" t="s">
        <v>61</v>
      </c>
      <c r="B66" s="4">
        <v>0.44413329463883999</v>
      </c>
      <c r="C66" s="4">
        <v>0.44483872208562802</v>
      </c>
      <c r="D66" s="4">
        <v>0.46002455282118099</v>
      </c>
      <c r="E66" s="4">
        <v>0.45206624932243999</v>
      </c>
      <c r="F66" s="4">
        <v>0.44242279589757499</v>
      </c>
      <c r="G66" s="4">
        <v>0.44293489014889298</v>
      </c>
      <c r="H66" s="4">
        <v>0.442681694913451</v>
      </c>
      <c r="I66" s="4">
        <v>0.44764940546238985</v>
      </c>
      <c r="J66" s="4">
        <f t="shared" si="0"/>
        <v>6.1489809631650599E-3</v>
      </c>
      <c r="K66" s="5">
        <f t="shared" si="1"/>
        <v>0.44448600836223401</v>
      </c>
    </row>
    <row r="67" spans="1:11" x14ac:dyDescent="0.3">
      <c r="A67" s="3" t="s">
        <v>75</v>
      </c>
      <c r="B67" s="4">
        <v>0.439534805793872</v>
      </c>
      <c r="C67" s="4">
        <v>0.42172252793995002</v>
      </c>
      <c r="D67" s="4">
        <v>0.43874158497279597</v>
      </c>
      <c r="E67" s="4">
        <v>0.448703548048972</v>
      </c>
      <c r="F67" s="4">
        <v>0.43864544684596102</v>
      </c>
      <c r="G67" s="4">
        <v>0.43865010313102698</v>
      </c>
      <c r="H67" s="4">
        <v>0.43897467121713801</v>
      </c>
      <c r="I67" s="4">
        <v>0.43764661864841142</v>
      </c>
      <c r="J67" s="4">
        <f t="shared" si="0"/>
        <v>7.4075581419876533E-3</v>
      </c>
      <c r="K67" s="5">
        <f t="shared" si="1"/>
        <v>0.43869584405191148</v>
      </c>
    </row>
    <row r="68" spans="1:11" x14ac:dyDescent="0.3">
      <c r="A68" s="3" t="s">
        <v>49</v>
      </c>
      <c r="B68" s="4">
        <v>0.54001916970457298</v>
      </c>
      <c r="C68" s="4">
        <v>0.540849506753735</v>
      </c>
      <c r="D68" s="4">
        <v>0.55149338696960903</v>
      </c>
      <c r="E68" s="4">
        <v>0.54718744085403404</v>
      </c>
      <c r="F68" s="4">
        <v>0.53981176272157605</v>
      </c>
      <c r="G68" s="4">
        <v>0.53938680093727598</v>
      </c>
      <c r="H68" s="4">
        <v>0.53984251965359897</v>
      </c>
      <c r="I68" s="4">
        <v>0.54318184520305923</v>
      </c>
      <c r="J68" s="4">
        <f t="shared" si="0"/>
        <v>4.404296779361893E-3</v>
      </c>
      <c r="K68" s="5">
        <f t="shared" si="1"/>
        <v>0.54043433822915399</v>
      </c>
    </row>
    <row r="69" spans="1:11" x14ac:dyDescent="0.3">
      <c r="A69" s="3" t="s">
        <v>60</v>
      </c>
      <c r="B69" s="4">
        <v>0.52052621988639003</v>
      </c>
      <c r="C69" s="4">
        <v>0.53215548632981302</v>
      </c>
      <c r="D69" s="4">
        <v>0.57008287314798001</v>
      </c>
      <c r="E69" s="4">
        <v>0.52477961799554895</v>
      </c>
      <c r="F69" s="4">
        <v>0.51954899277086997</v>
      </c>
      <c r="G69" s="4">
        <v>0.51966394060060495</v>
      </c>
      <c r="H69" s="4">
        <v>0.52079013126198903</v>
      </c>
      <c r="I69" s="4">
        <v>0.53102409414601826</v>
      </c>
      <c r="J69" s="4">
        <f t="shared" si="0"/>
        <v>1.7029221683920792E-2</v>
      </c>
      <c r="K69" s="5">
        <f t="shared" si="1"/>
        <v>0.52278487462876899</v>
      </c>
    </row>
    <row r="70" spans="1:11" x14ac:dyDescent="0.3">
      <c r="A70" s="3" t="s">
        <v>66</v>
      </c>
      <c r="B70" s="4">
        <v>0.37293724459427802</v>
      </c>
      <c r="C70" s="4">
        <v>0.37177461568002101</v>
      </c>
      <c r="D70" s="4">
        <v>0.36882827354041903</v>
      </c>
      <c r="E70" s="4">
        <v>0.37221060299235098</v>
      </c>
      <c r="F70" s="4">
        <v>0.37293724459427802</v>
      </c>
      <c r="G70" s="4">
        <v>0.37206783745278399</v>
      </c>
      <c r="H70" s="4">
        <v>0.37280586035173802</v>
      </c>
      <c r="I70" s="4">
        <v>0.37191282458133978</v>
      </c>
      <c r="J70" s="4">
        <f t="shared" si="0"/>
        <v>1.3383865233880497E-3</v>
      </c>
      <c r="K70" s="5">
        <f t="shared" si="1"/>
        <v>0.37213922022256751</v>
      </c>
    </row>
    <row r="71" spans="1:11" x14ac:dyDescent="0.3">
      <c r="A71" s="3" t="s">
        <v>34</v>
      </c>
      <c r="B71" s="4">
        <v>0.47852124113924299</v>
      </c>
      <c r="C71" s="4">
        <v>0.48542449014043099</v>
      </c>
      <c r="D71" s="4">
        <v>0.492789442991585</v>
      </c>
      <c r="E71" s="4">
        <v>0.48324520161193601</v>
      </c>
      <c r="F71" s="4">
        <v>0.47808872108060702</v>
      </c>
      <c r="G71" s="4">
        <v>0.47830764185413599</v>
      </c>
      <c r="H71" s="4">
        <v>0.47926254822870701</v>
      </c>
      <c r="I71" s="4">
        <v>0.48286119702270597</v>
      </c>
      <c r="J71" s="4">
        <f t="shared" si="0"/>
        <v>5.0451796578274239E-3</v>
      </c>
      <c r="K71" s="5">
        <f t="shared" si="1"/>
        <v>0.48106187262570649</v>
      </c>
    </row>
    <row r="72" spans="1:11" x14ac:dyDescent="0.3">
      <c r="A72" s="3" t="s">
        <v>35</v>
      </c>
      <c r="B72" s="4">
        <v>0.36543387529534999</v>
      </c>
      <c r="C72" s="4">
        <v>0.37353645685248199</v>
      </c>
      <c r="D72" s="4">
        <v>0.39701845337201702</v>
      </c>
      <c r="E72" s="4">
        <v>0.36618180307491399</v>
      </c>
      <c r="F72" s="4">
        <v>0.365432972888661</v>
      </c>
      <c r="G72" s="4">
        <v>0.36530837956288198</v>
      </c>
      <c r="H72" s="4">
        <v>0.36664542350293</v>
      </c>
      <c r="I72" s="4">
        <v>0.37220643303545997</v>
      </c>
      <c r="J72" s="4">
        <f t="shared" si="0"/>
        <v>1.0820771524758141E-2</v>
      </c>
      <c r="K72" s="5">
        <f t="shared" si="1"/>
        <v>0.36641361328892197</v>
      </c>
    </row>
  </sheetData>
  <autoFilter ref="B10:K72" xr:uid="{BE0337AD-A64F-4417-9DB0-784EA4202DF1}"/>
  <sortState xmlns:xlrd2="http://schemas.microsoft.com/office/spreadsheetml/2017/richdata2" ref="A12:I72">
    <sortCondition ref="A12:A72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E06C-2373-44C6-8B52-E17F63E19B9F}">
  <dimension ref="A1:G62"/>
  <sheetViews>
    <sheetView workbookViewId="0">
      <selection activeCell="C4" sqref="C4"/>
    </sheetView>
  </sheetViews>
  <sheetFormatPr defaultRowHeight="14.4" x14ac:dyDescent="0.3"/>
  <sheetData>
    <row r="1" spans="1:7" x14ac:dyDescent="0.3">
      <c r="A1" t="s">
        <v>26</v>
      </c>
      <c r="B1" t="s">
        <v>24</v>
      </c>
      <c r="C1" t="s">
        <v>25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 t="s">
        <v>58</v>
      </c>
      <c r="B2">
        <v>0</v>
      </c>
      <c r="C2">
        <v>0</v>
      </c>
      <c r="E2" t="s">
        <v>32</v>
      </c>
      <c r="G2">
        <v>0</v>
      </c>
    </row>
    <row r="3" spans="1:7" x14ac:dyDescent="0.3">
      <c r="A3" t="s">
        <v>72</v>
      </c>
      <c r="B3">
        <v>93128.861870419001</v>
      </c>
      <c r="C3">
        <v>93086.443360153396</v>
      </c>
      <c r="D3">
        <v>1.00045568945094</v>
      </c>
      <c r="E3" t="s">
        <v>32</v>
      </c>
      <c r="F3">
        <v>0.44471892863630802</v>
      </c>
      <c r="G3">
        <v>33260.066043246297</v>
      </c>
    </row>
    <row r="4" spans="1:7" x14ac:dyDescent="0.3">
      <c r="A4" t="s">
        <v>38</v>
      </c>
      <c r="B4">
        <v>184343.89966027101</v>
      </c>
      <c r="C4">
        <v>184132.57883173</v>
      </c>
      <c r="D4">
        <v>1.00114765583517</v>
      </c>
      <c r="E4" t="s">
        <v>32</v>
      </c>
      <c r="F4">
        <v>0.36401645906811902</v>
      </c>
      <c r="G4">
        <v>57679.240031464898</v>
      </c>
    </row>
    <row r="5" spans="1:7" x14ac:dyDescent="0.3">
      <c r="A5" t="s">
        <v>84</v>
      </c>
      <c r="B5">
        <v>29611.7566336128</v>
      </c>
      <c r="C5">
        <v>29563.400661485699</v>
      </c>
      <c r="D5">
        <v>1.00163567015448</v>
      </c>
      <c r="E5" t="s">
        <v>32</v>
      </c>
      <c r="F5">
        <v>0.44412036277963102</v>
      </c>
      <c r="G5">
        <v>13111.3157665009</v>
      </c>
    </row>
    <row r="6" spans="1:7" x14ac:dyDescent="0.3">
      <c r="A6" t="s">
        <v>51</v>
      </c>
      <c r="B6">
        <v>0</v>
      </c>
      <c r="C6">
        <v>0</v>
      </c>
      <c r="E6" t="s">
        <v>32</v>
      </c>
      <c r="G6">
        <v>0</v>
      </c>
    </row>
    <row r="7" spans="1:7" x14ac:dyDescent="0.3">
      <c r="A7" t="s">
        <v>36</v>
      </c>
      <c r="B7">
        <v>49702.687990975501</v>
      </c>
      <c r="C7">
        <v>49686.525083301</v>
      </c>
      <c r="D7">
        <v>1.00032529760629</v>
      </c>
      <c r="E7" t="s">
        <v>32</v>
      </c>
      <c r="F7">
        <v>0.35997404673424699</v>
      </c>
      <c r="G7">
        <v>15720.1568324283</v>
      </c>
    </row>
    <row r="8" spans="1:7" x14ac:dyDescent="0.3">
      <c r="A8" t="s">
        <v>74</v>
      </c>
      <c r="B8">
        <v>42317.129271465899</v>
      </c>
      <c r="C8">
        <v>42280.289381367198</v>
      </c>
      <c r="D8">
        <v>1.00087132540097</v>
      </c>
      <c r="E8" t="s">
        <v>32</v>
      </c>
      <c r="F8">
        <v>0.45262689627526598</v>
      </c>
      <c r="G8">
        <v>19097.812966502501</v>
      </c>
    </row>
    <row r="9" spans="1:7" x14ac:dyDescent="0.3">
      <c r="A9" t="s">
        <v>39</v>
      </c>
      <c r="B9">
        <v>8685.8368833561399</v>
      </c>
      <c r="C9">
        <v>8671.7313117000194</v>
      </c>
      <c r="D9">
        <v>1.0016266153953699</v>
      </c>
      <c r="E9" t="s">
        <v>32</v>
      </c>
      <c r="F9">
        <v>0.522116808690544</v>
      </c>
      <c r="G9">
        <v>4494.5654393618897</v>
      </c>
    </row>
    <row r="10" spans="1:7" x14ac:dyDescent="0.3">
      <c r="A10" t="s">
        <v>65</v>
      </c>
      <c r="B10">
        <v>0</v>
      </c>
      <c r="C10">
        <v>0</v>
      </c>
      <c r="E10" t="s">
        <v>32</v>
      </c>
      <c r="G10">
        <v>0</v>
      </c>
    </row>
    <row r="11" spans="1:7" x14ac:dyDescent="0.3">
      <c r="A11" t="s">
        <v>86</v>
      </c>
      <c r="B11">
        <v>76921.751095623404</v>
      </c>
      <c r="C11">
        <v>76764.1650792906</v>
      </c>
      <c r="D11">
        <v>1.0020528591194799</v>
      </c>
      <c r="E11" t="s">
        <v>32</v>
      </c>
      <c r="F11">
        <v>0.44145045125576898</v>
      </c>
      <c r="G11">
        <v>30397.032714084002</v>
      </c>
    </row>
    <row r="12" spans="1:7" x14ac:dyDescent="0.3">
      <c r="A12" t="s">
        <v>91</v>
      </c>
      <c r="B12">
        <v>45617.031037405097</v>
      </c>
      <c r="C12">
        <v>45548.474473034199</v>
      </c>
      <c r="D12">
        <v>1.0015051341491401</v>
      </c>
      <c r="E12" t="s">
        <v>32</v>
      </c>
      <c r="F12">
        <v>0.33985465187137998</v>
      </c>
      <c r="G12">
        <v>13538.641092158199</v>
      </c>
    </row>
    <row r="13" spans="1:7" x14ac:dyDescent="0.3">
      <c r="A13" t="s">
        <v>31</v>
      </c>
      <c r="B13">
        <v>74488.519079396094</v>
      </c>
      <c r="C13">
        <v>74457.205392042204</v>
      </c>
      <c r="D13">
        <v>1.0004205595306599</v>
      </c>
      <c r="E13" t="s">
        <v>32</v>
      </c>
      <c r="F13">
        <v>0.33870813498807101</v>
      </c>
      <c r="G13">
        <v>20942.398729910499</v>
      </c>
    </row>
    <row r="14" spans="1:7" x14ac:dyDescent="0.3">
      <c r="A14" t="s">
        <v>63</v>
      </c>
      <c r="B14">
        <v>0</v>
      </c>
      <c r="C14">
        <v>0</v>
      </c>
      <c r="E14" t="s">
        <v>32</v>
      </c>
      <c r="G14">
        <v>0</v>
      </c>
    </row>
    <row r="15" spans="1:7" x14ac:dyDescent="0.3">
      <c r="A15" t="s">
        <v>77</v>
      </c>
      <c r="B15">
        <v>61236.785477133999</v>
      </c>
      <c r="C15">
        <v>61047.429529057503</v>
      </c>
      <c r="D15">
        <v>1.00310178412977</v>
      </c>
      <c r="E15" t="s">
        <v>32</v>
      </c>
      <c r="F15">
        <v>0.44155435905065399</v>
      </c>
      <c r="G15">
        <v>26724.982298458301</v>
      </c>
    </row>
    <row r="16" spans="1:7" x14ac:dyDescent="0.3">
      <c r="A16" t="s">
        <v>92</v>
      </c>
      <c r="B16">
        <v>124751.11621961799</v>
      </c>
      <c r="C16">
        <v>124398.90945136501</v>
      </c>
      <c r="D16">
        <v>1.0028312689380201</v>
      </c>
      <c r="E16" t="s">
        <v>32</v>
      </c>
      <c r="F16">
        <v>0.42723505335419398</v>
      </c>
      <c r="G16">
        <v>44860.485697641001</v>
      </c>
    </row>
    <row r="17" spans="1:7" x14ac:dyDescent="0.3">
      <c r="A17" t="s">
        <v>55</v>
      </c>
      <c r="B17">
        <v>6832.14019776856</v>
      </c>
      <c r="C17">
        <v>6828.5426425413398</v>
      </c>
      <c r="D17">
        <v>1.0005268408525101</v>
      </c>
      <c r="E17" t="s">
        <v>32</v>
      </c>
      <c r="F17">
        <v>0.39666870161806</v>
      </c>
      <c r="G17">
        <v>2138.2184668251398</v>
      </c>
    </row>
    <row r="18" spans="1:7" x14ac:dyDescent="0.3">
      <c r="A18" t="s">
        <v>50</v>
      </c>
      <c r="B18">
        <v>47871.625505335003</v>
      </c>
      <c r="C18">
        <v>47757.047179439702</v>
      </c>
      <c r="D18">
        <v>1.0023991920075099</v>
      </c>
      <c r="E18" t="s">
        <v>32</v>
      </c>
      <c r="F18">
        <v>0.45709569334529498</v>
      </c>
      <c r="G18">
        <v>18341.387759048201</v>
      </c>
    </row>
    <row r="19" spans="1:7" x14ac:dyDescent="0.3">
      <c r="A19" t="s">
        <v>87</v>
      </c>
      <c r="B19">
        <v>1580.5731790901</v>
      </c>
      <c r="C19">
        <v>1573.9527828744599</v>
      </c>
      <c r="D19">
        <v>1.00420622288525</v>
      </c>
      <c r="E19" t="s">
        <v>32</v>
      </c>
      <c r="F19">
        <v>0.38201351729608501</v>
      </c>
      <c r="G19">
        <v>520.38070946119501</v>
      </c>
    </row>
    <row r="20" spans="1:7" x14ac:dyDescent="0.3">
      <c r="A20" t="s">
        <v>53</v>
      </c>
      <c r="B20">
        <v>1753.6050871306199</v>
      </c>
      <c r="C20">
        <v>1752.0885664135899</v>
      </c>
      <c r="D20">
        <v>1.0008655502616099</v>
      </c>
      <c r="E20" t="s">
        <v>32</v>
      </c>
      <c r="F20">
        <v>0.33249713962400901</v>
      </c>
      <c r="G20">
        <v>406.11119139509299</v>
      </c>
    </row>
    <row r="21" spans="1:7" x14ac:dyDescent="0.3">
      <c r="A21" t="s">
        <v>54</v>
      </c>
      <c r="B21">
        <v>93377.957656114697</v>
      </c>
      <c r="C21">
        <v>93311.272061526499</v>
      </c>
      <c r="D21">
        <v>1.00071465743757</v>
      </c>
      <c r="E21" t="s">
        <v>32</v>
      </c>
      <c r="F21">
        <v>0.45497509657961999</v>
      </c>
      <c r="G21">
        <v>40370.845658698199</v>
      </c>
    </row>
    <row r="22" spans="1:7" x14ac:dyDescent="0.3">
      <c r="A22" t="s">
        <v>89</v>
      </c>
      <c r="B22">
        <v>13986.008399701401</v>
      </c>
      <c r="C22">
        <v>13894.6433313326</v>
      </c>
      <c r="D22">
        <v>1.0065755605372599</v>
      </c>
      <c r="E22" t="s">
        <v>32</v>
      </c>
      <c r="F22">
        <v>0.358737128001894</v>
      </c>
      <c r="G22">
        <v>3653.4460898905299</v>
      </c>
    </row>
    <row r="23" spans="1:7" x14ac:dyDescent="0.3">
      <c r="A23" t="s">
        <v>80</v>
      </c>
      <c r="B23">
        <v>1320.5044069656501</v>
      </c>
      <c r="C23">
        <v>1301.21535130387</v>
      </c>
      <c r="D23">
        <v>1.0148238764955</v>
      </c>
      <c r="E23" t="s">
        <v>32</v>
      </c>
      <c r="F23">
        <v>0.63165376340851498</v>
      </c>
      <c r="G23">
        <v>813.51978833352496</v>
      </c>
    </row>
    <row r="24" spans="1:7" x14ac:dyDescent="0.3">
      <c r="A24" t="s">
        <v>76</v>
      </c>
      <c r="B24">
        <v>28563.988763537898</v>
      </c>
      <c r="C24">
        <v>28465.324678966001</v>
      </c>
      <c r="D24">
        <v>1.0034661148497099</v>
      </c>
      <c r="E24" t="s">
        <v>32</v>
      </c>
      <c r="F24">
        <v>0.49178051214792001</v>
      </c>
      <c r="G24">
        <v>13765.9740475995</v>
      </c>
    </row>
    <row r="25" spans="1:7" x14ac:dyDescent="0.3">
      <c r="A25" t="s">
        <v>78</v>
      </c>
      <c r="B25">
        <v>15604.4457707704</v>
      </c>
      <c r="C25">
        <v>15464.999454725899</v>
      </c>
      <c r="D25">
        <v>1.0090168975726601</v>
      </c>
      <c r="E25" t="s">
        <v>32</v>
      </c>
      <c r="F25">
        <v>0.41428034737748298</v>
      </c>
      <c r="G25">
        <v>6188.0690659951997</v>
      </c>
    </row>
    <row r="26" spans="1:7" x14ac:dyDescent="0.3">
      <c r="A26" t="s">
        <v>81</v>
      </c>
      <c r="B26">
        <v>7116.8466533474102</v>
      </c>
      <c r="C26">
        <v>6993.3394353902604</v>
      </c>
      <c r="D26">
        <v>1.0176606925916001</v>
      </c>
      <c r="E26" t="s">
        <v>32</v>
      </c>
      <c r="F26">
        <v>0.455260330473576</v>
      </c>
      <c r="G26">
        <v>3101.96330571007</v>
      </c>
    </row>
    <row r="27" spans="1:7" x14ac:dyDescent="0.3">
      <c r="A27" t="s">
        <v>52</v>
      </c>
      <c r="B27">
        <v>0</v>
      </c>
      <c r="C27">
        <v>0</v>
      </c>
      <c r="E27" t="s">
        <v>32</v>
      </c>
      <c r="G27">
        <v>0</v>
      </c>
    </row>
    <row r="28" spans="1:7" x14ac:dyDescent="0.3">
      <c r="A28" t="s">
        <v>59</v>
      </c>
      <c r="B28">
        <v>132093.703579364</v>
      </c>
      <c r="C28">
        <v>132023.106536534</v>
      </c>
      <c r="D28">
        <v>1.0005347324773799</v>
      </c>
      <c r="E28" t="s">
        <v>32</v>
      </c>
      <c r="F28">
        <v>0.45872071580941898</v>
      </c>
      <c r="G28">
        <v>59042.797925782601</v>
      </c>
    </row>
    <row r="29" spans="1:7" x14ac:dyDescent="0.3">
      <c r="A29" t="s">
        <v>48</v>
      </c>
      <c r="B29">
        <v>0</v>
      </c>
      <c r="C29">
        <v>0</v>
      </c>
      <c r="E29" t="s">
        <v>32</v>
      </c>
      <c r="G29">
        <v>0</v>
      </c>
    </row>
    <row r="30" spans="1:7" x14ac:dyDescent="0.3">
      <c r="A30" t="s">
        <v>42</v>
      </c>
      <c r="B30">
        <v>2063.8092327592799</v>
      </c>
      <c r="C30">
        <v>2062.2920989111099</v>
      </c>
      <c r="D30">
        <v>1.0007356542019299</v>
      </c>
      <c r="E30" t="s">
        <v>32</v>
      </c>
      <c r="F30">
        <v>0.55498581120080603</v>
      </c>
      <c r="G30">
        <v>1143.8375868415101</v>
      </c>
    </row>
    <row r="31" spans="1:7" x14ac:dyDescent="0.3">
      <c r="A31" t="s">
        <v>83</v>
      </c>
      <c r="B31">
        <v>25107.277171257902</v>
      </c>
      <c r="C31">
        <v>25026.291809221599</v>
      </c>
      <c r="D31">
        <v>1.00323601125782</v>
      </c>
      <c r="E31" t="s">
        <v>32</v>
      </c>
      <c r="F31">
        <v>0.42046622335665701</v>
      </c>
      <c r="G31">
        <v>9716.6419616376097</v>
      </c>
    </row>
    <row r="32" spans="1:7" x14ac:dyDescent="0.3">
      <c r="A32" t="s">
        <v>47</v>
      </c>
      <c r="B32">
        <v>70020.750635666205</v>
      </c>
      <c r="C32">
        <v>69950.926387709595</v>
      </c>
      <c r="D32">
        <v>1.00099818903854</v>
      </c>
      <c r="E32" t="s">
        <v>32</v>
      </c>
      <c r="F32">
        <v>0.41620248863733</v>
      </c>
      <c r="G32">
        <v>23465.745933702401</v>
      </c>
    </row>
    <row r="33" spans="1:7" x14ac:dyDescent="0.3">
      <c r="A33" t="s">
        <v>64</v>
      </c>
      <c r="B33">
        <v>0</v>
      </c>
      <c r="C33">
        <v>0</v>
      </c>
      <c r="E33" t="s">
        <v>32</v>
      </c>
      <c r="G33">
        <v>0</v>
      </c>
    </row>
    <row r="34" spans="1:7" x14ac:dyDescent="0.3">
      <c r="A34" t="s">
        <v>33</v>
      </c>
      <c r="B34">
        <v>19573.1843081074</v>
      </c>
      <c r="C34">
        <v>19545.942873009299</v>
      </c>
      <c r="D34">
        <v>1.0013937130214201</v>
      </c>
      <c r="E34" t="s">
        <v>32</v>
      </c>
      <c r="F34">
        <v>0.50739117810120105</v>
      </c>
      <c r="G34">
        <v>9818.6184396896206</v>
      </c>
    </row>
    <row r="35" spans="1:7" x14ac:dyDescent="0.3">
      <c r="A35" t="s">
        <v>73</v>
      </c>
      <c r="B35">
        <v>61422.982742357897</v>
      </c>
      <c r="C35">
        <v>61327.465683566799</v>
      </c>
      <c r="D35">
        <v>1.00155749235234</v>
      </c>
      <c r="E35" t="s">
        <v>32</v>
      </c>
      <c r="F35">
        <v>0.394053130422438</v>
      </c>
      <c r="G35">
        <v>23986.5273918331</v>
      </c>
    </row>
    <row r="36" spans="1:7" x14ac:dyDescent="0.3">
      <c r="A36" t="s">
        <v>67</v>
      </c>
      <c r="B36">
        <v>15457.1691619293</v>
      </c>
      <c r="C36">
        <v>15429.2089488282</v>
      </c>
      <c r="D36">
        <v>1.0018121611544599</v>
      </c>
      <c r="E36" t="s">
        <v>32</v>
      </c>
      <c r="F36">
        <v>0.34873931881097803</v>
      </c>
      <c r="G36">
        <v>4137.3916646735497</v>
      </c>
    </row>
    <row r="37" spans="1:7" x14ac:dyDescent="0.3">
      <c r="A37" t="s">
        <v>44</v>
      </c>
      <c r="B37">
        <v>0</v>
      </c>
      <c r="C37">
        <v>0</v>
      </c>
      <c r="E37" t="s">
        <v>32</v>
      </c>
      <c r="G37">
        <v>0</v>
      </c>
    </row>
    <row r="38" spans="1:7" x14ac:dyDescent="0.3">
      <c r="A38" t="s">
        <v>68</v>
      </c>
      <c r="B38">
        <v>41548.601835060697</v>
      </c>
      <c r="C38">
        <v>41492.538572579098</v>
      </c>
      <c r="D38">
        <v>1.00135116491808</v>
      </c>
      <c r="E38" t="s">
        <v>32</v>
      </c>
      <c r="F38">
        <v>0.49012816523555802</v>
      </c>
      <c r="G38">
        <v>18827.187098568698</v>
      </c>
    </row>
    <row r="39" spans="1:7" x14ac:dyDescent="0.3">
      <c r="A39" t="s">
        <v>62</v>
      </c>
      <c r="B39">
        <v>83377.176873130098</v>
      </c>
      <c r="C39">
        <v>83184.346496403596</v>
      </c>
      <c r="D39">
        <v>1.00231810893332</v>
      </c>
      <c r="E39" t="s">
        <v>32</v>
      </c>
      <c r="F39">
        <v>0.39682220519324302</v>
      </c>
      <c r="G39">
        <v>29366.618427224199</v>
      </c>
    </row>
    <row r="40" spans="1:7" x14ac:dyDescent="0.3">
      <c r="A40" t="s">
        <v>37</v>
      </c>
      <c r="B40">
        <v>101560.939627821</v>
      </c>
      <c r="C40">
        <v>101466.915196965</v>
      </c>
      <c r="D40">
        <v>1.00092665112242</v>
      </c>
      <c r="E40" t="s">
        <v>32</v>
      </c>
      <c r="F40">
        <v>0.41556660544722102</v>
      </c>
      <c r="G40">
        <v>36458.6773632037</v>
      </c>
    </row>
    <row r="41" spans="1:7" x14ac:dyDescent="0.3">
      <c r="A41" t="s">
        <v>45</v>
      </c>
      <c r="B41">
        <v>38224.740480505003</v>
      </c>
      <c r="C41">
        <v>38200.930630784998</v>
      </c>
      <c r="D41">
        <v>1.00062327931091</v>
      </c>
      <c r="E41" t="s">
        <v>32</v>
      </c>
      <c r="F41">
        <v>0.35508607095217498</v>
      </c>
      <c r="G41">
        <v>11846.651348154601</v>
      </c>
    </row>
    <row r="42" spans="1:7" x14ac:dyDescent="0.3">
      <c r="A42" t="s">
        <v>85</v>
      </c>
      <c r="B42">
        <v>74465.855224688799</v>
      </c>
      <c r="C42">
        <v>74310.860537906803</v>
      </c>
      <c r="D42">
        <v>1.00208576089228</v>
      </c>
      <c r="E42" t="s">
        <v>32</v>
      </c>
      <c r="F42">
        <v>0.49289742429585798</v>
      </c>
      <c r="G42">
        <v>36264.938235744798</v>
      </c>
    </row>
    <row r="43" spans="1:7" x14ac:dyDescent="0.3">
      <c r="A43" t="s">
        <v>70</v>
      </c>
      <c r="B43">
        <v>0</v>
      </c>
      <c r="C43">
        <v>0</v>
      </c>
      <c r="E43" t="s">
        <v>32</v>
      </c>
      <c r="G43">
        <v>0</v>
      </c>
    </row>
    <row r="44" spans="1:7" x14ac:dyDescent="0.3">
      <c r="A44" t="s">
        <v>90</v>
      </c>
      <c r="B44">
        <v>51992.977229755597</v>
      </c>
      <c r="C44">
        <v>51884.068730649298</v>
      </c>
      <c r="D44">
        <v>1.00209907398881</v>
      </c>
      <c r="E44" t="s">
        <v>32</v>
      </c>
      <c r="F44">
        <v>0.41258574557359001</v>
      </c>
      <c r="G44">
        <v>17753.657615529901</v>
      </c>
    </row>
    <row r="45" spans="1:7" x14ac:dyDescent="0.3">
      <c r="A45" t="s">
        <v>40</v>
      </c>
      <c r="B45">
        <v>8397.4955453118801</v>
      </c>
      <c r="C45">
        <v>8368.8064144185901</v>
      </c>
      <c r="D45">
        <v>1.0034281030618399</v>
      </c>
      <c r="E45" t="s">
        <v>32</v>
      </c>
      <c r="F45">
        <v>0.58188079714298802</v>
      </c>
      <c r="G45">
        <v>4814.2467309993799</v>
      </c>
    </row>
    <row r="46" spans="1:7" x14ac:dyDescent="0.3">
      <c r="A46" t="s">
        <v>88</v>
      </c>
      <c r="B46">
        <v>0</v>
      </c>
      <c r="C46">
        <v>0</v>
      </c>
      <c r="E46" t="s">
        <v>32</v>
      </c>
      <c r="G46">
        <v>0</v>
      </c>
    </row>
    <row r="47" spans="1:7" x14ac:dyDescent="0.3">
      <c r="A47" t="s">
        <v>79</v>
      </c>
      <c r="B47">
        <v>34064.663911050498</v>
      </c>
      <c r="C47">
        <v>33814.818571151001</v>
      </c>
      <c r="D47">
        <v>1.00738863464175</v>
      </c>
      <c r="E47" t="s">
        <v>32</v>
      </c>
      <c r="F47">
        <v>0.51075040349506196</v>
      </c>
      <c r="G47">
        <v>17212.414440848301</v>
      </c>
    </row>
    <row r="48" spans="1:7" x14ac:dyDescent="0.3">
      <c r="A48" t="s">
        <v>82</v>
      </c>
      <c r="B48">
        <v>10529.704292569701</v>
      </c>
      <c r="C48">
        <v>10492.676232550501</v>
      </c>
      <c r="D48">
        <v>1.00352894335044</v>
      </c>
      <c r="E48" t="s">
        <v>32</v>
      </c>
      <c r="F48">
        <v>0.43541117674318602</v>
      </c>
      <c r="G48">
        <v>4512.5244159681597</v>
      </c>
    </row>
    <row r="49" spans="1:7" x14ac:dyDescent="0.3">
      <c r="A49" t="s">
        <v>56</v>
      </c>
      <c r="B49">
        <v>6753.0769108295199</v>
      </c>
      <c r="C49">
        <v>6751.5111904473097</v>
      </c>
      <c r="D49">
        <v>1.00023190665586</v>
      </c>
      <c r="E49" t="s">
        <v>32</v>
      </c>
      <c r="F49">
        <v>0.34667531601080698</v>
      </c>
      <c r="G49">
        <v>2181.09940175767</v>
      </c>
    </row>
    <row r="50" spans="1:7" x14ac:dyDescent="0.3">
      <c r="A50" t="s">
        <v>41</v>
      </c>
      <c r="B50">
        <v>244682.706591542</v>
      </c>
      <c r="C50">
        <v>244141.89964117599</v>
      </c>
      <c r="D50">
        <v>1.00221513370363</v>
      </c>
      <c r="E50" t="s">
        <v>32</v>
      </c>
      <c r="F50">
        <v>0.42383964008875402</v>
      </c>
      <c r="G50">
        <v>98912.539770996795</v>
      </c>
    </row>
    <row r="51" spans="1:7" x14ac:dyDescent="0.3">
      <c r="A51" t="s">
        <v>57</v>
      </c>
      <c r="B51">
        <v>32257.8506966512</v>
      </c>
      <c r="C51">
        <v>32233.8359012416</v>
      </c>
      <c r="D51">
        <v>1.0007450182312501</v>
      </c>
      <c r="E51" t="s">
        <v>32</v>
      </c>
      <c r="F51">
        <v>0.29725254743484703</v>
      </c>
      <c r="G51">
        <v>9499.4872722726104</v>
      </c>
    </row>
    <row r="52" spans="1:7" x14ac:dyDescent="0.3">
      <c r="A52" t="s">
        <v>71</v>
      </c>
      <c r="B52">
        <v>0</v>
      </c>
      <c r="C52">
        <v>0</v>
      </c>
      <c r="E52" t="s">
        <v>32</v>
      </c>
      <c r="G52">
        <v>0</v>
      </c>
    </row>
    <row r="53" spans="1:7" x14ac:dyDescent="0.3">
      <c r="A53" t="s">
        <v>69</v>
      </c>
      <c r="B53">
        <v>0</v>
      </c>
      <c r="C53">
        <v>0</v>
      </c>
      <c r="E53" t="s">
        <v>32</v>
      </c>
      <c r="G53">
        <v>0</v>
      </c>
    </row>
    <row r="54" spans="1:7" x14ac:dyDescent="0.3">
      <c r="A54" t="s">
        <v>46</v>
      </c>
      <c r="B54">
        <v>132590.012201926</v>
      </c>
      <c r="C54">
        <v>132338.582451967</v>
      </c>
      <c r="D54">
        <v>1.00189989756049</v>
      </c>
      <c r="E54" t="s">
        <v>32</v>
      </c>
      <c r="F54">
        <v>0.393350623568331</v>
      </c>
      <c r="G54">
        <v>46902.431541981998</v>
      </c>
    </row>
    <row r="55" spans="1:7" x14ac:dyDescent="0.3">
      <c r="A55" t="s">
        <v>43</v>
      </c>
      <c r="B55">
        <v>2575.2550576503199</v>
      </c>
      <c r="C55">
        <v>2573.3252057377399</v>
      </c>
      <c r="D55">
        <v>1.0007499448216901</v>
      </c>
      <c r="E55" t="s">
        <v>32</v>
      </c>
      <c r="F55">
        <v>0.41947367911936101</v>
      </c>
      <c r="G55">
        <v>1067.4724878022701</v>
      </c>
    </row>
    <row r="56" spans="1:7" x14ac:dyDescent="0.3">
      <c r="A56" t="s">
        <v>61</v>
      </c>
      <c r="B56">
        <v>206322.54219912499</v>
      </c>
      <c r="C56">
        <v>206162.43395358801</v>
      </c>
      <c r="D56">
        <v>1.0007766121231001</v>
      </c>
      <c r="E56" t="s">
        <v>32</v>
      </c>
      <c r="F56">
        <v>0.44413329463883999</v>
      </c>
      <c r="G56">
        <v>88099.333808641197</v>
      </c>
    </row>
    <row r="57" spans="1:7" x14ac:dyDescent="0.3">
      <c r="A57" t="s">
        <v>75</v>
      </c>
      <c r="B57">
        <v>19741.348169678298</v>
      </c>
      <c r="C57">
        <v>19718.0851563426</v>
      </c>
      <c r="D57">
        <v>1.00117978054923</v>
      </c>
      <c r="E57" t="s">
        <v>32</v>
      </c>
      <c r="F57">
        <v>0.439534805793872</v>
      </c>
      <c r="G57">
        <v>8581.2612540553491</v>
      </c>
    </row>
    <row r="58" spans="1:7" x14ac:dyDescent="0.3">
      <c r="A58" t="s">
        <v>49</v>
      </c>
      <c r="B58">
        <v>20051.700513299598</v>
      </c>
      <c r="C58">
        <v>20008.461938421799</v>
      </c>
      <c r="D58">
        <v>1.0021610144253299</v>
      </c>
      <c r="E58" t="s">
        <v>32</v>
      </c>
      <c r="F58">
        <v>0.54001916970457298</v>
      </c>
      <c r="G58">
        <v>10372.4788140787</v>
      </c>
    </row>
    <row r="59" spans="1:7" x14ac:dyDescent="0.3">
      <c r="A59" t="s">
        <v>60</v>
      </c>
      <c r="B59">
        <v>38370.030579089696</v>
      </c>
      <c r="C59">
        <v>38290.797003870699</v>
      </c>
      <c r="D59">
        <v>1.0020692589713101</v>
      </c>
      <c r="E59" t="s">
        <v>32</v>
      </c>
      <c r="F59">
        <v>0.52052621988639003</v>
      </c>
      <c r="G59">
        <v>19662.258639398999</v>
      </c>
    </row>
    <row r="60" spans="1:7" x14ac:dyDescent="0.3">
      <c r="A60" t="s">
        <v>66</v>
      </c>
      <c r="B60">
        <v>17269.794174442901</v>
      </c>
      <c r="C60">
        <v>17242.289879370201</v>
      </c>
      <c r="D60">
        <v>1.00159516486876</v>
      </c>
      <c r="E60" t="s">
        <v>32</v>
      </c>
      <c r="F60">
        <v>0.37293724459427802</v>
      </c>
      <c r="G60">
        <v>4523.5941462485598</v>
      </c>
    </row>
    <row r="61" spans="1:7" x14ac:dyDescent="0.3">
      <c r="A61" t="s">
        <v>34</v>
      </c>
      <c r="B61">
        <v>78136.556400429603</v>
      </c>
      <c r="C61">
        <v>78034.751816151605</v>
      </c>
      <c r="D61">
        <v>1.0013046057289601</v>
      </c>
      <c r="E61" t="s">
        <v>32</v>
      </c>
      <c r="F61">
        <v>0.47852124113924299</v>
      </c>
      <c r="G61">
        <v>35733.2279073803</v>
      </c>
    </row>
    <row r="62" spans="1:7" x14ac:dyDescent="0.3">
      <c r="A62" t="s">
        <v>35</v>
      </c>
      <c r="B62">
        <v>68614.671719675898</v>
      </c>
      <c r="C62">
        <v>68501.957385710703</v>
      </c>
      <c r="D62">
        <v>1.0016454177116501</v>
      </c>
      <c r="E62" t="s">
        <v>32</v>
      </c>
      <c r="F62">
        <v>0.36543387529534999</v>
      </c>
      <c r="G62">
        <v>23664.705636246999</v>
      </c>
    </row>
  </sheetData>
  <autoFilter ref="A1:G62" xr:uid="{5BE9E06C-2373-44C6-8B52-E17F63E19B9F}"/>
  <sortState xmlns:xlrd2="http://schemas.microsoft.com/office/spreadsheetml/2017/richdata2" ref="A2:G62">
    <sortCondition ref="A2:A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09F6-BD36-4072-94AA-CA842FFA3C6A}">
  <dimension ref="A1:G62"/>
  <sheetViews>
    <sheetView workbookViewId="0">
      <selection activeCell="H10" sqref="H10"/>
    </sheetView>
  </sheetViews>
  <sheetFormatPr defaultRowHeight="14.4" x14ac:dyDescent="0.3"/>
  <sheetData>
    <row r="1" spans="1:7" x14ac:dyDescent="0.3">
      <c r="A1" t="s">
        <v>26</v>
      </c>
      <c r="B1" t="s">
        <v>24</v>
      </c>
      <c r="C1" t="s">
        <v>25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 t="s">
        <v>31</v>
      </c>
      <c r="B2">
        <v>122078.254178766</v>
      </c>
      <c r="C2">
        <v>122028.05736945799</v>
      </c>
      <c r="D2">
        <v>1.0004113546539199</v>
      </c>
      <c r="E2" t="s">
        <v>32</v>
      </c>
      <c r="F2">
        <v>0.33565493638341298</v>
      </c>
      <c r="G2">
        <v>34062.002224994903</v>
      </c>
    </row>
    <row r="3" spans="1:7" x14ac:dyDescent="0.3">
      <c r="A3" t="s">
        <v>33</v>
      </c>
      <c r="B3">
        <v>28706.899598803899</v>
      </c>
      <c r="C3">
        <v>28667.867739900001</v>
      </c>
      <c r="D3">
        <v>1.0013615194285801</v>
      </c>
      <c r="E3" t="s">
        <v>32</v>
      </c>
      <c r="F3">
        <v>0.50627928961398805</v>
      </c>
      <c r="G3">
        <v>14371.783400947699</v>
      </c>
    </row>
    <row r="4" spans="1:7" x14ac:dyDescent="0.3">
      <c r="A4" t="s">
        <v>34</v>
      </c>
      <c r="B4">
        <v>120045.921634447</v>
      </c>
      <c r="C4">
        <v>119901.255544984</v>
      </c>
      <c r="D4">
        <v>1.0012065435745801</v>
      </c>
      <c r="E4" t="s">
        <v>32</v>
      </c>
      <c r="F4">
        <v>0.48542449014043099</v>
      </c>
      <c r="G4">
        <v>55117.595992603703</v>
      </c>
    </row>
    <row r="5" spans="1:7" x14ac:dyDescent="0.3">
      <c r="A5" t="s">
        <v>35</v>
      </c>
      <c r="B5">
        <v>106690.922057298</v>
      </c>
      <c r="C5">
        <v>106503.201566755</v>
      </c>
      <c r="D5">
        <v>1.00176258072791</v>
      </c>
      <c r="E5" t="s">
        <v>32</v>
      </c>
      <c r="F5">
        <v>0.37353645685248199</v>
      </c>
      <c r="G5">
        <v>37919.745651416903</v>
      </c>
    </row>
    <row r="6" spans="1:7" x14ac:dyDescent="0.3">
      <c r="A6" t="s">
        <v>36</v>
      </c>
      <c r="B6">
        <v>80583.107134831604</v>
      </c>
      <c r="C6">
        <v>80563.212159318195</v>
      </c>
      <c r="D6">
        <v>1.0002469486379699</v>
      </c>
      <c r="E6" t="s">
        <v>32</v>
      </c>
      <c r="F6">
        <v>0.35606495682288603</v>
      </c>
      <c r="G6">
        <v>24906.101006004199</v>
      </c>
    </row>
    <row r="7" spans="1:7" x14ac:dyDescent="0.3">
      <c r="A7" t="s">
        <v>37</v>
      </c>
      <c r="B7">
        <v>157464.909814627</v>
      </c>
      <c r="C7">
        <v>157302.39106926601</v>
      </c>
      <c r="D7">
        <v>1.00103316131596</v>
      </c>
      <c r="E7" t="s">
        <v>32</v>
      </c>
      <c r="F7">
        <v>0.420679842649608</v>
      </c>
      <c r="G7">
        <v>57824.207151217401</v>
      </c>
    </row>
    <row r="8" spans="1:7" x14ac:dyDescent="0.3">
      <c r="A8" t="s">
        <v>38</v>
      </c>
      <c r="B8">
        <v>292616.38146331999</v>
      </c>
      <c r="C8">
        <v>292286.440069417</v>
      </c>
      <c r="D8">
        <v>1.0011288289454101</v>
      </c>
      <c r="E8" t="s">
        <v>32</v>
      </c>
      <c r="F8">
        <v>0.36321575031884901</v>
      </c>
      <c r="G8">
        <v>90715.989566612203</v>
      </c>
    </row>
    <row r="9" spans="1:7" x14ac:dyDescent="0.3">
      <c r="A9" t="s">
        <v>39</v>
      </c>
      <c r="B9">
        <v>12822.649402966699</v>
      </c>
      <c r="C9">
        <v>12805.9678278059</v>
      </c>
      <c r="D9">
        <v>1.0013026407207199</v>
      </c>
      <c r="E9" t="s">
        <v>32</v>
      </c>
      <c r="F9">
        <v>0.52200656226194997</v>
      </c>
      <c r="G9">
        <v>6651.5674825349597</v>
      </c>
    </row>
    <row r="10" spans="1:7" x14ac:dyDescent="0.3">
      <c r="A10" t="s">
        <v>40</v>
      </c>
      <c r="B10">
        <v>13534.4281055791</v>
      </c>
      <c r="C10">
        <v>13500.6436457162</v>
      </c>
      <c r="D10">
        <v>1.0025024332727701</v>
      </c>
      <c r="E10" t="s">
        <v>32</v>
      </c>
      <c r="F10">
        <v>0.56382194673997399</v>
      </c>
      <c r="G10">
        <v>7498.5680265374003</v>
      </c>
    </row>
    <row r="11" spans="1:7" x14ac:dyDescent="0.3">
      <c r="A11" t="s">
        <v>41</v>
      </c>
      <c r="B11">
        <v>376958.414728423</v>
      </c>
      <c r="C11">
        <v>376173.54441930598</v>
      </c>
      <c r="D11">
        <v>1.0020864580212001</v>
      </c>
      <c r="E11" t="s">
        <v>32</v>
      </c>
      <c r="F11">
        <v>0.42098546032018302</v>
      </c>
      <c r="G11">
        <v>150962.05620468099</v>
      </c>
    </row>
    <row r="12" spans="1:7" x14ac:dyDescent="0.3">
      <c r="A12" t="s">
        <v>42</v>
      </c>
      <c r="B12">
        <v>3547.0352649657998</v>
      </c>
      <c r="C12">
        <v>3545.3756662085302</v>
      </c>
      <c r="D12">
        <v>1.0004681023715101</v>
      </c>
      <c r="E12" t="s">
        <v>32</v>
      </c>
      <c r="F12">
        <v>0.50933356477784397</v>
      </c>
      <c r="G12">
        <v>1786.0041244307099</v>
      </c>
    </row>
    <row r="13" spans="1:7" x14ac:dyDescent="0.3">
      <c r="A13" t="s">
        <v>43</v>
      </c>
      <c r="B13">
        <v>5098.9191796847299</v>
      </c>
      <c r="C13">
        <v>5093.7817226063298</v>
      </c>
      <c r="D13">
        <v>1.00100857424957</v>
      </c>
      <c r="E13" t="s">
        <v>32</v>
      </c>
      <c r="F13">
        <v>0.38714413284584198</v>
      </c>
      <c r="G13">
        <v>1931.1087322922599</v>
      </c>
    </row>
    <row r="14" spans="1:7" x14ac:dyDescent="0.3">
      <c r="A14" t="s">
        <v>44</v>
      </c>
      <c r="B14">
        <v>0</v>
      </c>
      <c r="C14">
        <v>0</v>
      </c>
      <c r="E14" t="s">
        <v>32</v>
      </c>
      <c r="G14">
        <v>0</v>
      </c>
    </row>
    <row r="15" spans="1:7" x14ac:dyDescent="0.3">
      <c r="A15" t="s">
        <v>45</v>
      </c>
      <c r="B15">
        <v>63352.773992492403</v>
      </c>
      <c r="C15">
        <v>63320.457451467701</v>
      </c>
      <c r="D15">
        <v>1.0005103649329901</v>
      </c>
      <c r="E15" t="s">
        <v>32</v>
      </c>
      <c r="F15">
        <v>0.352514907019912</v>
      </c>
      <c r="G15">
        <v>19440.568651059599</v>
      </c>
    </row>
    <row r="16" spans="1:7" x14ac:dyDescent="0.3">
      <c r="A16" t="s">
        <v>46</v>
      </c>
      <c r="B16">
        <v>215475.45487431</v>
      </c>
      <c r="C16">
        <v>215173.99463053601</v>
      </c>
      <c r="D16">
        <v>1.0014010068655901</v>
      </c>
      <c r="E16" t="s">
        <v>32</v>
      </c>
      <c r="F16">
        <v>0.38771891490511301</v>
      </c>
      <c r="G16">
        <v>74334.488081475603</v>
      </c>
    </row>
    <row r="17" spans="1:7" x14ac:dyDescent="0.3">
      <c r="A17" t="s">
        <v>47</v>
      </c>
      <c r="B17">
        <v>109176.356862706</v>
      </c>
      <c r="C17">
        <v>109096.03864177701</v>
      </c>
      <c r="D17">
        <v>1.00073621574099</v>
      </c>
      <c r="E17" t="s">
        <v>32</v>
      </c>
      <c r="F17">
        <v>0.40696689037277101</v>
      </c>
      <c r="G17">
        <v>34614.3469010716</v>
      </c>
    </row>
    <row r="18" spans="1:7" x14ac:dyDescent="0.3">
      <c r="A18" t="s">
        <v>48</v>
      </c>
      <c r="B18">
        <v>0</v>
      </c>
      <c r="C18">
        <v>0</v>
      </c>
      <c r="E18" t="s">
        <v>32</v>
      </c>
      <c r="G18">
        <v>0</v>
      </c>
    </row>
    <row r="19" spans="1:7" x14ac:dyDescent="0.3">
      <c r="A19" t="s">
        <v>49</v>
      </c>
      <c r="B19">
        <v>29960.0510425098</v>
      </c>
      <c r="C19">
        <v>29899.7551411073</v>
      </c>
      <c r="D19">
        <v>1.00201660184566</v>
      </c>
      <c r="E19" t="s">
        <v>32</v>
      </c>
      <c r="F19">
        <v>0.540849506753735</v>
      </c>
      <c r="G19">
        <v>15500.815256479</v>
      </c>
    </row>
    <row r="20" spans="1:7" x14ac:dyDescent="0.3">
      <c r="A20" t="s">
        <v>50</v>
      </c>
      <c r="B20">
        <v>76900.365931195396</v>
      </c>
      <c r="C20">
        <v>76672.045914148403</v>
      </c>
      <c r="D20">
        <v>1.00297787823873</v>
      </c>
      <c r="E20" t="s">
        <v>32</v>
      </c>
      <c r="F20">
        <v>0.47543075359884601</v>
      </c>
      <c r="G20">
        <v>29876.269903691002</v>
      </c>
    </row>
    <row r="21" spans="1:7" x14ac:dyDescent="0.3">
      <c r="A21" t="s">
        <v>51</v>
      </c>
      <c r="B21">
        <v>0</v>
      </c>
      <c r="C21">
        <v>0</v>
      </c>
      <c r="E21" t="s">
        <v>32</v>
      </c>
      <c r="G21">
        <v>0</v>
      </c>
    </row>
    <row r="22" spans="1:7" x14ac:dyDescent="0.3">
      <c r="A22" t="s">
        <v>52</v>
      </c>
      <c r="B22">
        <v>0</v>
      </c>
      <c r="C22">
        <v>0</v>
      </c>
      <c r="E22" t="s">
        <v>32</v>
      </c>
      <c r="G22">
        <v>0</v>
      </c>
    </row>
    <row r="23" spans="1:7" x14ac:dyDescent="0.3">
      <c r="A23" t="s">
        <v>53</v>
      </c>
      <c r="B23">
        <v>2901.7017628038302</v>
      </c>
      <c r="C23">
        <v>2899.3616699845102</v>
      </c>
      <c r="D23">
        <v>1.0008071062135899</v>
      </c>
      <c r="E23" t="s">
        <v>32</v>
      </c>
      <c r="F23">
        <v>0.33560641101216299</v>
      </c>
      <c r="G23">
        <v>655.687265992731</v>
      </c>
    </row>
    <row r="24" spans="1:7" x14ac:dyDescent="0.3">
      <c r="A24" t="s">
        <v>54</v>
      </c>
      <c r="B24">
        <v>144637.83785276499</v>
      </c>
      <c r="C24">
        <v>144539.941848836</v>
      </c>
      <c r="D24">
        <v>1.00067729378244</v>
      </c>
      <c r="E24" t="s">
        <v>32</v>
      </c>
      <c r="F24">
        <v>0.456127305701375</v>
      </c>
      <c r="G24">
        <v>62903.728886848898</v>
      </c>
    </row>
    <row r="25" spans="1:7" x14ac:dyDescent="0.3">
      <c r="A25" t="s">
        <v>55</v>
      </c>
      <c r="B25">
        <v>9327.6706254571709</v>
      </c>
      <c r="C25">
        <v>9322.85679816216</v>
      </c>
      <c r="D25">
        <v>1.00051634680218</v>
      </c>
      <c r="E25" t="s">
        <v>32</v>
      </c>
      <c r="F25">
        <v>0.435070111103807</v>
      </c>
      <c r="G25">
        <v>3227.7883473582101</v>
      </c>
    </row>
    <row r="26" spans="1:7" x14ac:dyDescent="0.3">
      <c r="A26" t="s">
        <v>56</v>
      </c>
      <c r="B26">
        <v>11779.3343299269</v>
      </c>
      <c r="C26">
        <v>11776.8424271353</v>
      </c>
      <c r="D26">
        <v>1.00021159345614</v>
      </c>
      <c r="E26" t="s">
        <v>32</v>
      </c>
      <c r="F26">
        <v>0.32764964156371501</v>
      </c>
      <c r="G26">
        <v>3448.04991987725</v>
      </c>
    </row>
    <row r="27" spans="1:7" x14ac:dyDescent="0.3">
      <c r="A27" t="s">
        <v>57</v>
      </c>
      <c r="B27">
        <v>53035.7484731285</v>
      </c>
      <c r="C27">
        <v>52991.538600889398</v>
      </c>
      <c r="D27">
        <v>1.0008342817250899</v>
      </c>
      <c r="E27" t="s">
        <v>32</v>
      </c>
      <c r="F27">
        <v>0.29447564947920601</v>
      </c>
      <c r="G27">
        <v>15423.1009611478</v>
      </c>
    </row>
    <row r="28" spans="1:7" x14ac:dyDescent="0.3">
      <c r="A28" t="s">
        <v>58</v>
      </c>
      <c r="B28">
        <v>0</v>
      </c>
      <c r="C28">
        <v>0</v>
      </c>
      <c r="E28" t="s">
        <v>32</v>
      </c>
      <c r="G28">
        <v>0</v>
      </c>
    </row>
    <row r="29" spans="1:7" x14ac:dyDescent="0.3">
      <c r="A29" t="s">
        <v>59</v>
      </c>
      <c r="B29">
        <v>198491.60762749301</v>
      </c>
      <c r="C29">
        <v>198374.216370788</v>
      </c>
      <c r="D29">
        <v>1.00059176670664</v>
      </c>
      <c r="E29" t="s">
        <v>32</v>
      </c>
      <c r="F29">
        <v>0.46540600252456399</v>
      </c>
      <c r="G29">
        <v>89410.991970644303</v>
      </c>
    </row>
    <row r="30" spans="1:7" x14ac:dyDescent="0.3">
      <c r="A30" t="s">
        <v>60</v>
      </c>
      <c r="B30">
        <v>55443.468716424497</v>
      </c>
      <c r="C30">
        <v>55307.320055121898</v>
      </c>
      <c r="D30">
        <v>1.00246167525685</v>
      </c>
      <c r="E30" t="s">
        <v>32</v>
      </c>
      <c r="F30">
        <v>0.53215548632981302</v>
      </c>
      <c r="G30">
        <v>29050.0964087059</v>
      </c>
    </row>
    <row r="31" spans="1:7" x14ac:dyDescent="0.3">
      <c r="A31" t="s">
        <v>61</v>
      </c>
      <c r="B31">
        <v>314745.48685595801</v>
      </c>
      <c r="C31">
        <v>314492.578893664</v>
      </c>
      <c r="D31">
        <v>1.00080417783842</v>
      </c>
      <c r="E31" t="s">
        <v>32</v>
      </c>
      <c r="F31">
        <v>0.44483872208562802</v>
      </c>
      <c r="G31">
        <v>133761.2200876</v>
      </c>
    </row>
    <row r="32" spans="1:7" x14ac:dyDescent="0.3">
      <c r="A32" t="s">
        <v>62</v>
      </c>
      <c r="B32">
        <v>132869.13577642801</v>
      </c>
      <c r="C32">
        <v>132570.21835572901</v>
      </c>
      <c r="D32">
        <v>1.0022547856102699</v>
      </c>
      <c r="E32" t="s">
        <v>32</v>
      </c>
      <c r="F32">
        <v>0.38802273508840801</v>
      </c>
      <c r="G32">
        <v>45296.810623203099</v>
      </c>
    </row>
    <row r="33" spans="1:7" x14ac:dyDescent="0.3">
      <c r="A33" t="s">
        <v>63</v>
      </c>
      <c r="B33">
        <v>0</v>
      </c>
      <c r="C33">
        <v>0</v>
      </c>
      <c r="E33" t="s">
        <v>32</v>
      </c>
      <c r="G33">
        <v>0</v>
      </c>
    </row>
    <row r="34" spans="1:7" x14ac:dyDescent="0.3">
      <c r="A34" t="s">
        <v>64</v>
      </c>
      <c r="B34">
        <v>0</v>
      </c>
      <c r="C34">
        <v>0</v>
      </c>
      <c r="E34" t="s">
        <v>32</v>
      </c>
      <c r="G34">
        <v>0</v>
      </c>
    </row>
    <row r="35" spans="1:7" x14ac:dyDescent="0.3">
      <c r="A35" t="s">
        <v>65</v>
      </c>
      <c r="B35">
        <v>0</v>
      </c>
      <c r="C35">
        <v>0</v>
      </c>
      <c r="E35" t="s">
        <v>32</v>
      </c>
      <c r="G35">
        <v>0</v>
      </c>
    </row>
    <row r="36" spans="1:7" x14ac:dyDescent="0.3">
      <c r="A36" t="s">
        <v>66</v>
      </c>
      <c r="B36">
        <v>26612.763792553898</v>
      </c>
      <c r="C36">
        <v>26583.413454833801</v>
      </c>
      <c r="D36">
        <v>1.0011040846116199</v>
      </c>
      <c r="E36" t="s">
        <v>32</v>
      </c>
      <c r="F36">
        <v>0.37177461568002101</v>
      </c>
      <c r="G36">
        <v>6867.9113467386996</v>
      </c>
    </row>
    <row r="37" spans="1:7" x14ac:dyDescent="0.3">
      <c r="A37" t="s">
        <v>67</v>
      </c>
      <c r="B37">
        <v>24367.697624307901</v>
      </c>
      <c r="C37">
        <v>24324.275090362102</v>
      </c>
      <c r="D37">
        <v>1.0017851522310299</v>
      </c>
      <c r="E37" t="s">
        <v>32</v>
      </c>
      <c r="F37">
        <v>0.34681630071034603</v>
      </c>
      <c r="G37">
        <v>6410.2973928419196</v>
      </c>
    </row>
    <row r="38" spans="1:7" x14ac:dyDescent="0.3">
      <c r="A38" t="s">
        <v>68</v>
      </c>
      <c r="B38">
        <v>63713.633727069202</v>
      </c>
      <c r="C38">
        <v>63639.028156941997</v>
      </c>
      <c r="D38">
        <v>1.0011723241584201</v>
      </c>
      <c r="E38" t="s">
        <v>32</v>
      </c>
      <c r="F38">
        <v>0.47710332291191898</v>
      </c>
      <c r="G38">
        <v>28026.144179082199</v>
      </c>
    </row>
    <row r="39" spans="1:7" x14ac:dyDescent="0.3">
      <c r="A39" t="s">
        <v>69</v>
      </c>
      <c r="B39">
        <v>0</v>
      </c>
      <c r="C39">
        <v>0</v>
      </c>
      <c r="E39" t="s">
        <v>32</v>
      </c>
      <c r="G39">
        <v>0</v>
      </c>
    </row>
    <row r="40" spans="1:7" x14ac:dyDescent="0.3">
      <c r="A40" t="s">
        <v>70</v>
      </c>
      <c r="B40">
        <v>0</v>
      </c>
      <c r="C40">
        <v>0</v>
      </c>
      <c r="E40" t="s">
        <v>32</v>
      </c>
      <c r="G40">
        <v>0</v>
      </c>
    </row>
    <row r="41" spans="1:7" x14ac:dyDescent="0.3">
      <c r="A41" t="s">
        <v>71</v>
      </c>
      <c r="B41">
        <v>0</v>
      </c>
      <c r="C41">
        <v>0</v>
      </c>
      <c r="E41" t="s">
        <v>32</v>
      </c>
      <c r="G41">
        <v>0</v>
      </c>
    </row>
    <row r="42" spans="1:7" x14ac:dyDescent="0.3">
      <c r="A42" t="s">
        <v>72</v>
      </c>
      <c r="B42">
        <v>151388.02937664901</v>
      </c>
      <c r="C42">
        <v>151323.31653158</v>
      </c>
      <c r="D42">
        <v>1.0004276462249899</v>
      </c>
      <c r="E42" t="s">
        <v>32</v>
      </c>
      <c r="F42">
        <v>0.43200623749936801</v>
      </c>
      <c r="G42">
        <v>51872.491760139797</v>
      </c>
    </row>
    <row r="43" spans="1:7" x14ac:dyDescent="0.3">
      <c r="A43" t="s">
        <v>73</v>
      </c>
      <c r="B43">
        <v>98874.645300186196</v>
      </c>
      <c r="C43">
        <v>98719.837010739095</v>
      </c>
      <c r="D43">
        <v>1.0015681578711499</v>
      </c>
      <c r="E43" t="s">
        <v>32</v>
      </c>
      <c r="F43">
        <v>0.39038244423959301</v>
      </c>
      <c r="G43">
        <v>38304.720656121797</v>
      </c>
    </row>
    <row r="44" spans="1:7" x14ac:dyDescent="0.3">
      <c r="A44" t="s">
        <v>74</v>
      </c>
      <c r="B44">
        <v>65129.018830615802</v>
      </c>
      <c r="C44">
        <v>65063.108917925798</v>
      </c>
      <c r="D44">
        <v>1.0010130151138801</v>
      </c>
      <c r="E44" t="s">
        <v>32</v>
      </c>
      <c r="F44">
        <v>0.45808217512549798</v>
      </c>
      <c r="G44">
        <v>29734.951837341501</v>
      </c>
    </row>
    <row r="45" spans="1:7" x14ac:dyDescent="0.3">
      <c r="A45" t="s">
        <v>75</v>
      </c>
      <c r="B45">
        <v>31800.206440694099</v>
      </c>
      <c r="C45">
        <v>31766.7371707928</v>
      </c>
      <c r="D45">
        <v>1.0010535948253401</v>
      </c>
      <c r="E45" t="s">
        <v>32</v>
      </c>
      <c r="F45">
        <v>0.42172252793995002</v>
      </c>
      <c r="G45">
        <v>13268.995857084999</v>
      </c>
    </row>
    <row r="46" spans="1:7" x14ac:dyDescent="0.3">
      <c r="A46" t="s">
        <v>76</v>
      </c>
      <c r="B46">
        <v>42799.993939817097</v>
      </c>
      <c r="C46">
        <v>42631.446749185699</v>
      </c>
      <c r="D46">
        <v>1.0039535883363899</v>
      </c>
      <c r="E46" t="s">
        <v>32</v>
      </c>
      <c r="F46">
        <v>0.48697158453602202</v>
      </c>
      <c r="G46">
        <v>20393.324210537201</v>
      </c>
    </row>
    <row r="47" spans="1:7" x14ac:dyDescent="0.3">
      <c r="A47" t="s">
        <v>77</v>
      </c>
      <c r="B47">
        <v>93420.0282675575</v>
      </c>
      <c r="C47">
        <v>93154.988840018006</v>
      </c>
      <c r="D47">
        <v>1.00284514475112</v>
      </c>
      <c r="E47" t="s">
        <v>32</v>
      </c>
      <c r="F47">
        <v>0.44376224875154802</v>
      </c>
      <c r="G47">
        <v>41019.517723468103</v>
      </c>
    </row>
    <row r="48" spans="1:7" x14ac:dyDescent="0.3">
      <c r="A48" t="s">
        <v>78</v>
      </c>
      <c r="B48">
        <v>23273.8952332894</v>
      </c>
      <c r="C48">
        <v>23082.259450014499</v>
      </c>
      <c r="D48">
        <v>1.0083022974284599</v>
      </c>
      <c r="E48" t="s">
        <v>32</v>
      </c>
      <c r="F48">
        <v>0.42558724287084498</v>
      </c>
      <c r="G48">
        <v>9545.66766587852</v>
      </c>
    </row>
    <row r="49" spans="1:7" x14ac:dyDescent="0.3">
      <c r="A49" t="s">
        <v>79</v>
      </c>
      <c r="B49">
        <v>50493.268753965298</v>
      </c>
      <c r="C49">
        <v>50053.533102337897</v>
      </c>
      <c r="D49">
        <v>1.0087853069378401</v>
      </c>
      <c r="E49" t="s">
        <v>32</v>
      </c>
      <c r="F49">
        <v>0.51665138935730404</v>
      </c>
      <c r="G49">
        <v>25728.358186558798</v>
      </c>
    </row>
    <row r="50" spans="1:7" x14ac:dyDescent="0.3">
      <c r="A50" t="s">
        <v>80</v>
      </c>
      <c r="B50">
        <v>2070.2499812176502</v>
      </c>
      <c r="C50">
        <v>2037.9269853522101</v>
      </c>
      <c r="D50">
        <v>1.01586072322402</v>
      </c>
      <c r="E50" t="s">
        <v>32</v>
      </c>
      <c r="F50">
        <v>0.593442143717403</v>
      </c>
      <c r="G50">
        <v>1184.59950810433</v>
      </c>
    </row>
    <row r="51" spans="1:7" x14ac:dyDescent="0.3">
      <c r="A51" t="s">
        <v>81</v>
      </c>
      <c r="B51">
        <v>11232.444198441901</v>
      </c>
      <c r="C51">
        <v>11050.3966627256</v>
      </c>
      <c r="D51">
        <v>1.0164742987308599</v>
      </c>
      <c r="E51" t="s">
        <v>32</v>
      </c>
      <c r="F51">
        <v>0.44113801495128901</v>
      </c>
      <c r="G51">
        <v>4748.0333370511798</v>
      </c>
    </row>
    <row r="52" spans="1:7" x14ac:dyDescent="0.3">
      <c r="A52" t="s">
        <v>82</v>
      </c>
      <c r="B52">
        <v>16607.498160757499</v>
      </c>
      <c r="C52">
        <v>16535.422876206499</v>
      </c>
      <c r="D52">
        <v>1.0043588413244999</v>
      </c>
      <c r="E52" t="s">
        <v>32</v>
      </c>
      <c r="F52">
        <v>0.44075414416709102</v>
      </c>
      <c r="G52">
        <v>7215.3868200672596</v>
      </c>
    </row>
    <row r="53" spans="1:7" x14ac:dyDescent="0.3">
      <c r="A53" t="s">
        <v>83</v>
      </c>
      <c r="B53">
        <v>38012.155158278903</v>
      </c>
      <c r="C53">
        <v>37905.465628252699</v>
      </c>
      <c r="D53">
        <v>1.00281462127579</v>
      </c>
      <c r="E53" t="s">
        <v>32</v>
      </c>
      <c r="F53">
        <v>0.433683794597165</v>
      </c>
      <c r="G53">
        <v>15097.870380697201</v>
      </c>
    </row>
    <row r="54" spans="1:7" x14ac:dyDescent="0.3">
      <c r="A54" t="s">
        <v>84</v>
      </c>
      <c r="B54">
        <v>48028.114155750402</v>
      </c>
      <c r="C54">
        <v>47968.384891739202</v>
      </c>
      <c r="D54">
        <v>1.00124517980219</v>
      </c>
      <c r="E54" t="s">
        <v>32</v>
      </c>
      <c r="F54">
        <v>0.42449299543785401</v>
      </c>
      <c r="G54">
        <v>20328.497015559598</v>
      </c>
    </row>
    <row r="55" spans="1:7" x14ac:dyDescent="0.3">
      <c r="A55" t="s">
        <v>85</v>
      </c>
      <c r="B55">
        <v>120290.27942370001</v>
      </c>
      <c r="C55">
        <v>120054.249736435</v>
      </c>
      <c r="D55">
        <v>1.0019660252575999</v>
      </c>
      <c r="E55" t="s">
        <v>32</v>
      </c>
      <c r="F55">
        <v>0.47698886914974697</v>
      </c>
      <c r="G55">
        <v>56492.049039951897</v>
      </c>
    </row>
    <row r="56" spans="1:7" x14ac:dyDescent="0.3">
      <c r="A56" t="s">
        <v>86</v>
      </c>
      <c r="B56">
        <v>122619.972038746</v>
      </c>
      <c r="C56">
        <v>122380.31823880599</v>
      </c>
      <c r="D56">
        <v>1.00195827076925</v>
      </c>
      <c r="E56" t="s">
        <v>32</v>
      </c>
      <c r="F56">
        <v>0.43687908810610199</v>
      </c>
      <c r="G56">
        <v>47643.304854909598</v>
      </c>
    </row>
    <row r="57" spans="1:7" x14ac:dyDescent="0.3">
      <c r="A57" t="s">
        <v>87</v>
      </c>
      <c r="B57">
        <v>2440.5276325365598</v>
      </c>
      <c r="C57">
        <v>2432.7477151585199</v>
      </c>
      <c r="D57">
        <v>1.00319799596544</v>
      </c>
      <c r="E57" t="s">
        <v>32</v>
      </c>
      <c r="F57">
        <v>0.39745860954569301</v>
      </c>
      <c r="G57">
        <v>751.93200884720204</v>
      </c>
    </row>
    <row r="58" spans="1:7" x14ac:dyDescent="0.3">
      <c r="A58" t="s">
        <v>88</v>
      </c>
      <c r="B58">
        <v>0</v>
      </c>
      <c r="C58">
        <v>0</v>
      </c>
      <c r="E58" t="s">
        <v>32</v>
      </c>
      <c r="G58">
        <v>0</v>
      </c>
    </row>
    <row r="59" spans="1:7" x14ac:dyDescent="0.3">
      <c r="A59" t="s">
        <v>89</v>
      </c>
      <c r="B59">
        <v>23252.331054323698</v>
      </c>
      <c r="C59">
        <v>23106.544461890298</v>
      </c>
      <c r="D59">
        <v>1.0063093204037299</v>
      </c>
      <c r="E59" t="s">
        <v>32</v>
      </c>
      <c r="F59">
        <v>0.35150994886624398</v>
      </c>
      <c r="G59">
        <v>5649.0947272149997</v>
      </c>
    </row>
    <row r="60" spans="1:7" x14ac:dyDescent="0.3">
      <c r="A60" t="s">
        <v>90</v>
      </c>
      <c r="B60">
        <v>80946.193390132394</v>
      </c>
      <c r="C60">
        <v>80804.9325045187</v>
      </c>
      <c r="D60">
        <v>1.00174817156868</v>
      </c>
      <c r="E60" t="s">
        <v>32</v>
      </c>
      <c r="F60">
        <v>0.41640938438390701</v>
      </c>
      <c r="G60">
        <v>27667.182503360898</v>
      </c>
    </row>
    <row r="61" spans="1:7" x14ac:dyDescent="0.3">
      <c r="A61" t="s">
        <v>91</v>
      </c>
      <c r="B61">
        <v>74277.993791147805</v>
      </c>
      <c r="C61">
        <v>74187.567232841102</v>
      </c>
      <c r="D61">
        <v>1.0012188910039701</v>
      </c>
      <c r="E61" t="s">
        <v>32</v>
      </c>
      <c r="F61">
        <v>0.33584204873114198</v>
      </c>
      <c r="G61">
        <v>21816.554956259701</v>
      </c>
    </row>
    <row r="62" spans="1:7" x14ac:dyDescent="0.3">
      <c r="A62" t="s">
        <v>92</v>
      </c>
      <c r="B62">
        <v>199726.211515376</v>
      </c>
      <c r="C62">
        <v>199137.56812417001</v>
      </c>
      <c r="D62">
        <v>1.0029559635419401</v>
      </c>
      <c r="E62" t="s">
        <v>32</v>
      </c>
      <c r="F62">
        <v>0.42151304971755199</v>
      </c>
      <c r="G62">
        <v>69918.244727599405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208F-2F3C-4F46-BCF2-6EE7A9C4A70D}">
  <dimension ref="A1:G62"/>
  <sheetViews>
    <sheetView workbookViewId="0">
      <selection activeCell="J8" sqref="J8"/>
    </sheetView>
  </sheetViews>
  <sheetFormatPr defaultRowHeight="14.4" x14ac:dyDescent="0.3"/>
  <sheetData>
    <row r="1" spans="1:7" x14ac:dyDescent="0.3">
      <c r="A1" t="s">
        <v>26</v>
      </c>
      <c r="B1" t="s">
        <v>24</v>
      </c>
      <c r="C1" t="s">
        <v>25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 t="s">
        <v>31</v>
      </c>
      <c r="B2">
        <v>232116.91163569799</v>
      </c>
      <c r="C2">
        <v>231994.27569007201</v>
      </c>
      <c r="D2">
        <v>1.0005286162568401</v>
      </c>
      <c r="E2" t="s">
        <v>32</v>
      </c>
      <c r="F2">
        <v>0.33675954868075803</v>
      </c>
      <c r="G2">
        <v>65602.994822908804</v>
      </c>
    </row>
    <row r="3" spans="1:7" x14ac:dyDescent="0.3">
      <c r="A3" t="s">
        <v>33</v>
      </c>
      <c r="B3">
        <v>44946.713312505402</v>
      </c>
      <c r="C3">
        <v>44879.981597690101</v>
      </c>
      <c r="D3">
        <v>1.0014868926510101</v>
      </c>
      <c r="E3" t="s">
        <v>32</v>
      </c>
      <c r="F3">
        <v>0.53492542754966799</v>
      </c>
      <c r="G3">
        <v>23789.4925912707</v>
      </c>
    </row>
    <row r="4" spans="1:7" x14ac:dyDescent="0.3">
      <c r="A4" t="s">
        <v>34</v>
      </c>
      <c r="B4">
        <v>213449.69549138899</v>
      </c>
      <c r="C4">
        <v>213206.92027803001</v>
      </c>
      <c r="D4">
        <v>1.0011386835523</v>
      </c>
      <c r="E4" t="s">
        <v>32</v>
      </c>
      <c r="F4">
        <v>0.492789442991585</v>
      </c>
      <c r="G4">
        <v>97215.694261104494</v>
      </c>
    </row>
    <row r="5" spans="1:7" x14ac:dyDescent="0.3">
      <c r="A5" t="s">
        <v>35</v>
      </c>
      <c r="B5">
        <v>188847.29468546799</v>
      </c>
      <c r="C5">
        <v>188505.965298617</v>
      </c>
      <c r="D5">
        <v>1.0018107086760299</v>
      </c>
      <c r="E5" t="s">
        <v>32</v>
      </c>
      <c r="F5">
        <v>0.39701845337201702</v>
      </c>
      <c r="G5">
        <v>71988.4112013759</v>
      </c>
    </row>
    <row r="6" spans="1:7" x14ac:dyDescent="0.3">
      <c r="A6" t="s">
        <v>36</v>
      </c>
      <c r="B6">
        <v>152555.410784279</v>
      </c>
      <c r="C6">
        <v>152523.48078985099</v>
      </c>
      <c r="D6">
        <v>1.0002093447793301</v>
      </c>
      <c r="E6" t="s">
        <v>32</v>
      </c>
      <c r="F6">
        <v>0.35709878938162298</v>
      </c>
      <c r="G6">
        <v>46885.908726881004</v>
      </c>
    </row>
    <row r="7" spans="1:7" x14ac:dyDescent="0.3">
      <c r="A7" t="s">
        <v>37</v>
      </c>
      <c r="B7">
        <v>274123.82736815099</v>
      </c>
      <c r="C7">
        <v>273883.224863043</v>
      </c>
      <c r="D7">
        <v>1.0008784857313799</v>
      </c>
      <c r="E7" t="s">
        <v>32</v>
      </c>
      <c r="F7">
        <v>0.44135850985302</v>
      </c>
      <c r="G7">
        <v>107728.552679329</v>
      </c>
    </row>
    <row r="8" spans="1:7" x14ac:dyDescent="0.3">
      <c r="A8" t="s">
        <v>38</v>
      </c>
      <c r="B8">
        <v>524029.77011643699</v>
      </c>
      <c r="C8">
        <v>523497.01433091599</v>
      </c>
      <c r="D8">
        <v>1.00101768638776</v>
      </c>
      <c r="E8" t="s">
        <v>32</v>
      </c>
      <c r="F8">
        <v>0.369568015043581</v>
      </c>
      <c r="G8">
        <v>165237.92052276499</v>
      </c>
    </row>
    <row r="9" spans="1:7" x14ac:dyDescent="0.3">
      <c r="A9" t="s">
        <v>39</v>
      </c>
      <c r="B9">
        <v>19376.757148401899</v>
      </c>
      <c r="C9">
        <v>19346.593123558599</v>
      </c>
      <c r="D9">
        <v>1.0015591388442699</v>
      </c>
      <c r="E9" t="s">
        <v>32</v>
      </c>
      <c r="F9">
        <v>0.54237949350415204</v>
      </c>
      <c r="G9">
        <v>10449.621690046701</v>
      </c>
    </row>
    <row r="10" spans="1:7" x14ac:dyDescent="0.3">
      <c r="A10" t="s">
        <v>40</v>
      </c>
      <c r="B10">
        <v>21955.2247480388</v>
      </c>
      <c r="C10">
        <v>21871.558826441898</v>
      </c>
      <c r="D10">
        <v>1.0038253296100601</v>
      </c>
      <c r="E10" t="s">
        <v>32</v>
      </c>
      <c r="F10">
        <v>0.55485204079852102</v>
      </c>
      <c r="G10">
        <v>12070.4675646342</v>
      </c>
    </row>
    <row r="11" spans="1:7" x14ac:dyDescent="0.3">
      <c r="A11" t="s">
        <v>41</v>
      </c>
      <c r="B11">
        <v>649662.98601627396</v>
      </c>
      <c r="C11">
        <v>648412.96967217897</v>
      </c>
      <c r="D11">
        <v>1.0019278089775501</v>
      </c>
      <c r="E11" t="s">
        <v>32</v>
      </c>
      <c r="F11">
        <v>0.42692276414573999</v>
      </c>
      <c r="G11">
        <v>264630.391540115</v>
      </c>
    </row>
    <row r="12" spans="1:7" x14ac:dyDescent="0.3">
      <c r="A12" t="s">
        <v>42</v>
      </c>
      <c r="B12">
        <v>7315.1359963575096</v>
      </c>
      <c r="C12">
        <v>7309.9450332432798</v>
      </c>
      <c r="D12">
        <v>1.00071012341277</v>
      </c>
      <c r="E12" t="s">
        <v>32</v>
      </c>
      <c r="F12">
        <v>0.44537522552890102</v>
      </c>
      <c r="G12">
        <v>2833.69540276614</v>
      </c>
    </row>
    <row r="13" spans="1:7" x14ac:dyDescent="0.3">
      <c r="A13" t="s">
        <v>43</v>
      </c>
      <c r="B13">
        <v>12853.492855468699</v>
      </c>
      <c r="C13">
        <v>12837.2729763072</v>
      </c>
      <c r="D13">
        <v>1.00126349881251</v>
      </c>
      <c r="E13" t="s">
        <v>32</v>
      </c>
      <c r="F13">
        <v>0.37040575133320103</v>
      </c>
      <c r="G13">
        <v>4672.0927333290401</v>
      </c>
    </row>
    <row r="14" spans="1:7" x14ac:dyDescent="0.3">
      <c r="A14" t="s">
        <v>44</v>
      </c>
      <c r="B14">
        <v>0</v>
      </c>
      <c r="C14">
        <v>0</v>
      </c>
      <c r="E14" t="s">
        <v>32</v>
      </c>
      <c r="G14">
        <v>0</v>
      </c>
    </row>
    <row r="15" spans="1:7" x14ac:dyDescent="0.3">
      <c r="A15" t="s">
        <v>45</v>
      </c>
      <c r="B15">
        <v>126536.83804540501</v>
      </c>
      <c r="C15">
        <v>126479.52359522</v>
      </c>
      <c r="D15">
        <v>1.0004531520087601</v>
      </c>
      <c r="E15" t="s">
        <v>32</v>
      </c>
      <c r="F15">
        <v>0.35503828797466602</v>
      </c>
      <c r="G15">
        <v>37888.027905599003</v>
      </c>
    </row>
    <row r="16" spans="1:7" x14ac:dyDescent="0.3">
      <c r="A16" t="s">
        <v>46</v>
      </c>
      <c r="B16">
        <v>408918.20277026301</v>
      </c>
      <c r="C16">
        <v>408542.26758712903</v>
      </c>
      <c r="D16">
        <v>1.00092018675412</v>
      </c>
      <c r="E16" t="s">
        <v>32</v>
      </c>
      <c r="F16">
        <v>0.38416192535773702</v>
      </c>
      <c r="G16">
        <v>138756.97968937899</v>
      </c>
    </row>
    <row r="17" spans="1:7" x14ac:dyDescent="0.3">
      <c r="A17" t="s">
        <v>47</v>
      </c>
      <c r="B17">
        <v>199844.57103568199</v>
      </c>
      <c r="C17">
        <v>199761.40092919799</v>
      </c>
      <c r="D17">
        <v>1.0004163472327301</v>
      </c>
      <c r="E17" t="s">
        <v>32</v>
      </c>
      <c r="F17">
        <v>0.39725908116286202</v>
      </c>
      <c r="G17">
        <v>58625.394092804898</v>
      </c>
    </row>
    <row r="18" spans="1:7" x14ac:dyDescent="0.3">
      <c r="A18" t="s">
        <v>48</v>
      </c>
      <c r="B18">
        <v>0</v>
      </c>
      <c r="C18">
        <v>0</v>
      </c>
      <c r="E18" t="s">
        <v>32</v>
      </c>
      <c r="G18">
        <v>0</v>
      </c>
    </row>
    <row r="19" spans="1:7" x14ac:dyDescent="0.3">
      <c r="A19" t="s">
        <v>49</v>
      </c>
      <c r="B19">
        <v>50358.401739518202</v>
      </c>
      <c r="C19">
        <v>50266.998695234099</v>
      </c>
      <c r="D19">
        <v>1.0018183509391101</v>
      </c>
      <c r="E19" t="s">
        <v>32</v>
      </c>
      <c r="F19">
        <v>0.55149338696960903</v>
      </c>
      <c r="G19">
        <v>26129.481467927999</v>
      </c>
    </row>
    <row r="20" spans="1:7" x14ac:dyDescent="0.3">
      <c r="A20" t="s">
        <v>50</v>
      </c>
      <c r="B20">
        <v>146548.976422154</v>
      </c>
      <c r="C20">
        <v>146140.82183540499</v>
      </c>
      <c r="D20">
        <v>1.0027928855307</v>
      </c>
      <c r="E20" t="s">
        <v>32</v>
      </c>
      <c r="F20">
        <v>0.45695199554666299</v>
      </c>
      <c r="G20">
        <v>50202.554325192803</v>
      </c>
    </row>
    <row r="21" spans="1:7" x14ac:dyDescent="0.3">
      <c r="A21" t="s">
        <v>51</v>
      </c>
      <c r="B21">
        <v>0</v>
      </c>
      <c r="C21">
        <v>0</v>
      </c>
      <c r="E21" t="s">
        <v>32</v>
      </c>
      <c r="G21">
        <v>0</v>
      </c>
    </row>
    <row r="22" spans="1:7" x14ac:dyDescent="0.3">
      <c r="A22" t="s">
        <v>52</v>
      </c>
      <c r="B22">
        <v>0</v>
      </c>
      <c r="C22">
        <v>0</v>
      </c>
      <c r="E22" t="s">
        <v>32</v>
      </c>
      <c r="G22">
        <v>0</v>
      </c>
    </row>
    <row r="23" spans="1:7" x14ac:dyDescent="0.3">
      <c r="A23" t="s">
        <v>53</v>
      </c>
      <c r="B23">
        <v>5684.9118112488504</v>
      </c>
      <c r="C23">
        <v>5676.8638521063403</v>
      </c>
      <c r="D23">
        <v>1.00141767696956</v>
      </c>
      <c r="E23" t="s">
        <v>32</v>
      </c>
      <c r="F23">
        <v>0.32735112971317198</v>
      </c>
      <c r="G23">
        <v>1276.2992194736401</v>
      </c>
    </row>
    <row r="24" spans="1:7" x14ac:dyDescent="0.3">
      <c r="A24" t="s">
        <v>54</v>
      </c>
      <c r="B24">
        <v>256340.82137678299</v>
      </c>
      <c r="C24">
        <v>256181.25629191101</v>
      </c>
      <c r="D24">
        <v>1.0006228601076499</v>
      </c>
      <c r="E24" t="s">
        <v>32</v>
      </c>
      <c r="F24">
        <v>0.46675238750186898</v>
      </c>
      <c r="G24">
        <v>114254.59005042601</v>
      </c>
    </row>
    <row r="25" spans="1:7" x14ac:dyDescent="0.3">
      <c r="A25" t="s">
        <v>55</v>
      </c>
      <c r="B25">
        <v>14713.3873217205</v>
      </c>
      <c r="C25">
        <v>14695.440283176</v>
      </c>
      <c r="D25">
        <v>1.0012212657939199</v>
      </c>
      <c r="E25" t="s">
        <v>32</v>
      </c>
      <c r="F25">
        <v>0.45486603973314399</v>
      </c>
      <c r="G25">
        <v>5452.8194047479101</v>
      </c>
    </row>
    <row r="26" spans="1:7" x14ac:dyDescent="0.3">
      <c r="A26" t="s">
        <v>56</v>
      </c>
      <c r="B26">
        <v>25530.446886215199</v>
      </c>
      <c r="C26">
        <v>25524.664066839101</v>
      </c>
      <c r="D26">
        <v>1.00022655809929</v>
      </c>
      <c r="E26" t="s">
        <v>32</v>
      </c>
      <c r="F26">
        <v>0.29262621177222597</v>
      </c>
      <c r="G26">
        <v>6850.9615122587002</v>
      </c>
    </row>
    <row r="27" spans="1:7" x14ac:dyDescent="0.3">
      <c r="A27" t="s">
        <v>57</v>
      </c>
      <c r="B27">
        <v>104162.829507387</v>
      </c>
      <c r="C27">
        <v>104063.786968997</v>
      </c>
      <c r="D27">
        <v>1.00095174835814</v>
      </c>
      <c r="E27" t="s">
        <v>32</v>
      </c>
      <c r="F27">
        <v>0.29343803960249898</v>
      </c>
      <c r="G27">
        <v>30153.0432901764</v>
      </c>
    </row>
    <row r="28" spans="1:7" x14ac:dyDescent="0.3">
      <c r="A28" t="s">
        <v>58</v>
      </c>
      <c r="B28">
        <v>245.27963460191401</v>
      </c>
      <c r="C28">
        <v>245.27963460191401</v>
      </c>
      <c r="D28">
        <v>1</v>
      </c>
      <c r="E28" t="s">
        <v>32</v>
      </c>
      <c r="F28">
        <v>8.2439724405634504E-2</v>
      </c>
      <c r="G28">
        <v>20.220789974379102</v>
      </c>
    </row>
    <row r="29" spans="1:7" x14ac:dyDescent="0.3">
      <c r="A29" t="s">
        <v>59</v>
      </c>
      <c r="B29">
        <v>317292.26043590601</v>
      </c>
      <c r="C29">
        <v>317102.34205012099</v>
      </c>
      <c r="D29">
        <v>1.0005989182689601</v>
      </c>
      <c r="E29" t="s">
        <v>32</v>
      </c>
      <c r="F29">
        <v>0.48799793492114002</v>
      </c>
      <c r="G29">
        <v>150540.472145584</v>
      </c>
    </row>
    <row r="30" spans="1:7" x14ac:dyDescent="0.3">
      <c r="A30" t="s">
        <v>60</v>
      </c>
      <c r="B30">
        <v>84294.190583977106</v>
      </c>
      <c r="C30">
        <v>84063.442516486597</v>
      </c>
      <c r="D30">
        <v>1.00274492764729</v>
      </c>
      <c r="E30" t="s">
        <v>32</v>
      </c>
      <c r="F30">
        <v>0.57008287314798001</v>
      </c>
      <c r="G30">
        <v>47246.551526181996</v>
      </c>
    </row>
    <row r="31" spans="1:7" x14ac:dyDescent="0.3">
      <c r="A31" t="s">
        <v>61</v>
      </c>
      <c r="B31">
        <v>516172.45301217702</v>
      </c>
      <c r="C31">
        <v>515695.242786786</v>
      </c>
      <c r="D31">
        <v>1.0009253725568801</v>
      </c>
      <c r="E31" t="s">
        <v>32</v>
      </c>
      <c r="F31">
        <v>0.46002455282118099</v>
      </c>
      <c r="G31">
        <v>226399.22007742201</v>
      </c>
    </row>
    <row r="32" spans="1:7" x14ac:dyDescent="0.3">
      <c r="A32" t="s">
        <v>62</v>
      </c>
      <c r="B32">
        <v>252621.37300146601</v>
      </c>
      <c r="C32">
        <v>252041.760988814</v>
      </c>
      <c r="D32">
        <v>1.00229966657262</v>
      </c>
      <c r="E32" t="s">
        <v>32</v>
      </c>
      <c r="F32">
        <v>0.37860972800554499</v>
      </c>
      <c r="G32">
        <v>83351.710720648407</v>
      </c>
    </row>
    <row r="33" spans="1:7" x14ac:dyDescent="0.3">
      <c r="A33" t="s">
        <v>63</v>
      </c>
      <c r="B33">
        <v>0</v>
      </c>
      <c r="C33">
        <v>0</v>
      </c>
      <c r="E33" t="s">
        <v>32</v>
      </c>
      <c r="G33">
        <v>0</v>
      </c>
    </row>
    <row r="34" spans="1:7" x14ac:dyDescent="0.3">
      <c r="A34" t="s">
        <v>64</v>
      </c>
      <c r="B34">
        <v>0</v>
      </c>
      <c r="C34">
        <v>0</v>
      </c>
      <c r="E34" t="s">
        <v>32</v>
      </c>
      <c r="G34">
        <v>0</v>
      </c>
    </row>
    <row r="35" spans="1:7" x14ac:dyDescent="0.3">
      <c r="A35" t="s">
        <v>65</v>
      </c>
      <c r="B35">
        <v>0</v>
      </c>
      <c r="C35">
        <v>0</v>
      </c>
      <c r="E35" t="s">
        <v>32</v>
      </c>
      <c r="G35">
        <v>0</v>
      </c>
    </row>
    <row r="36" spans="1:7" x14ac:dyDescent="0.3">
      <c r="A36" t="s">
        <v>66</v>
      </c>
      <c r="B36">
        <v>49497.489615344901</v>
      </c>
      <c r="C36">
        <v>49467.954494518002</v>
      </c>
      <c r="D36">
        <v>1.00059705563184</v>
      </c>
      <c r="E36" t="s">
        <v>32</v>
      </c>
      <c r="F36">
        <v>0.36882827354041903</v>
      </c>
      <c r="G36">
        <v>12243.358705270501</v>
      </c>
    </row>
    <row r="37" spans="1:7" x14ac:dyDescent="0.3">
      <c r="A37" t="s">
        <v>67</v>
      </c>
      <c r="B37">
        <v>42950.597721107297</v>
      </c>
      <c r="C37">
        <v>42875.868396055499</v>
      </c>
      <c r="D37">
        <v>1.0017429227173</v>
      </c>
      <c r="E37" t="s">
        <v>32</v>
      </c>
      <c r="F37">
        <v>0.344171153226971</v>
      </c>
      <c r="G37">
        <v>11791.6202890187</v>
      </c>
    </row>
    <row r="38" spans="1:7" x14ac:dyDescent="0.3">
      <c r="A38" t="s">
        <v>68</v>
      </c>
      <c r="B38">
        <v>109850.518243759</v>
      </c>
      <c r="C38">
        <v>109747.319802596</v>
      </c>
      <c r="D38">
        <v>1.0009403276667499</v>
      </c>
      <c r="E38" t="s">
        <v>32</v>
      </c>
      <c r="F38">
        <v>0.472902441977191</v>
      </c>
      <c r="G38">
        <v>48129.851115483303</v>
      </c>
    </row>
    <row r="39" spans="1:7" x14ac:dyDescent="0.3">
      <c r="A39" t="s">
        <v>69</v>
      </c>
      <c r="B39">
        <v>0</v>
      </c>
      <c r="C39">
        <v>0</v>
      </c>
      <c r="E39" t="s">
        <v>32</v>
      </c>
      <c r="G39">
        <v>0</v>
      </c>
    </row>
    <row r="40" spans="1:7" x14ac:dyDescent="0.3">
      <c r="A40" t="s">
        <v>70</v>
      </c>
      <c r="B40">
        <v>0</v>
      </c>
      <c r="C40">
        <v>0</v>
      </c>
      <c r="E40" t="s">
        <v>32</v>
      </c>
      <c r="G40">
        <v>0</v>
      </c>
    </row>
    <row r="41" spans="1:7" x14ac:dyDescent="0.3">
      <c r="A41" t="s">
        <v>71</v>
      </c>
      <c r="B41">
        <v>0</v>
      </c>
      <c r="C41">
        <v>0</v>
      </c>
      <c r="E41" t="s">
        <v>32</v>
      </c>
      <c r="G41">
        <v>0</v>
      </c>
    </row>
    <row r="42" spans="1:7" x14ac:dyDescent="0.3">
      <c r="A42" t="s">
        <v>72</v>
      </c>
      <c r="B42">
        <v>285750.41876372602</v>
      </c>
      <c r="C42">
        <v>285643.76234767499</v>
      </c>
      <c r="D42">
        <v>1.0003733896206</v>
      </c>
      <c r="E42" t="s">
        <v>32</v>
      </c>
      <c r="F42">
        <v>0.42341645693089103</v>
      </c>
      <c r="G42">
        <v>94730.786258053005</v>
      </c>
    </row>
    <row r="43" spans="1:7" x14ac:dyDescent="0.3">
      <c r="A43" t="s">
        <v>73</v>
      </c>
      <c r="B43">
        <v>183603.42883002799</v>
      </c>
      <c r="C43">
        <v>183312.431848076</v>
      </c>
      <c r="D43">
        <v>1.0015874372458899</v>
      </c>
      <c r="E43" t="s">
        <v>32</v>
      </c>
      <c r="F43">
        <v>0.39941269829393</v>
      </c>
      <c r="G43">
        <v>72823.207456597404</v>
      </c>
    </row>
    <row r="44" spans="1:7" x14ac:dyDescent="0.3">
      <c r="A44" t="s">
        <v>74</v>
      </c>
      <c r="B44">
        <v>118181.952229962</v>
      </c>
      <c r="C44">
        <v>118047.61569221099</v>
      </c>
      <c r="D44">
        <v>1.0011379860318499</v>
      </c>
      <c r="E44" t="s">
        <v>32</v>
      </c>
      <c r="F44">
        <v>0.46129842681048999</v>
      </c>
      <c r="G44">
        <v>54324.815588240599</v>
      </c>
    </row>
    <row r="45" spans="1:7" x14ac:dyDescent="0.3">
      <c r="A45" t="s">
        <v>75</v>
      </c>
      <c r="B45">
        <v>51654.909071190901</v>
      </c>
      <c r="C45">
        <v>51598.281931582802</v>
      </c>
      <c r="D45">
        <v>1.00109746172717</v>
      </c>
      <c r="E45" t="s">
        <v>32</v>
      </c>
      <c r="F45">
        <v>0.43874158497279597</v>
      </c>
      <c r="G45">
        <v>22590.750226755899</v>
      </c>
    </row>
    <row r="46" spans="1:7" x14ac:dyDescent="0.3">
      <c r="A46" t="s">
        <v>76</v>
      </c>
      <c r="B46">
        <v>68691.0870175163</v>
      </c>
      <c r="C46">
        <v>68402.904331108104</v>
      </c>
      <c r="D46">
        <v>1.00421301828082</v>
      </c>
      <c r="E46" t="s">
        <v>32</v>
      </c>
      <c r="F46">
        <v>0.49632090867666501</v>
      </c>
      <c r="G46">
        <v>33513.201710123198</v>
      </c>
    </row>
    <row r="47" spans="1:7" x14ac:dyDescent="0.3">
      <c r="A47" t="s">
        <v>77</v>
      </c>
      <c r="B47">
        <v>157225.098872323</v>
      </c>
      <c r="C47">
        <v>156852.29569547501</v>
      </c>
      <c r="D47">
        <v>1.00237677858137</v>
      </c>
      <c r="E47" t="s">
        <v>32</v>
      </c>
      <c r="F47">
        <v>0.46441954192503698</v>
      </c>
      <c r="G47">
        <v>71589.109091960199</v>
      </c>
    </row>
    <row r="48" spans="1:7" x14ac:dyDescent="0.3">
      <c r="A48" t="s">
        <v>78</v>
      </c>
      <c r="B48">
        <v>38143.571054924003</v>
      </c>
      <c r="C48">
        <v>37911.4143093518</v>
      </c>
      <c r="D48">
        <v>1.00612366354042</v>
      </c>
      <c r="E48" t="s">
        <v>32</v>
      </c>
      <c r="F48">
        <v>0.455046676762418</v>
      </c>
      <c r="G48">
        <v>16840.849056118001</v>
      </c>
    </row>
    <row r="49" spans="1:7" x14ac:dyDescent="0.3">
      <c r="A49" t="s">
        <v>79</v>
      </c>
      <c r="B49">
        <v>80583.241485776001</v>
      </c>
      <c r="C49">
        <v>79907.481894221797</v>
      </c>
      <c r="D49">
        <v>1.00845677495442</v>
      </c>
      <c r="E49" t="s">
        <v>32</v>
      </c>
      <c r="F49">
        <v>0.52640472082629897</v>
      </c>
      <c r="G49">
        <v>41975.772820433202</v>
      </c>
    </row>
    <row r="50" spans="1:7" x14ac:dyDescent="0.3">
      <c r="A50" t="s">
        <v>80</v>
      </c>
      <c r="B50">
        <v>5703.5426346261702</v>
      </c>
      <c r="C50">
        <v>5620.3981136429202</v>
      </c>
      <c r="D50">
        <v>1.0147933508093301</v>
      </c>
      <c r="E50" t="s">
        <v>32</v>
      </c>
      <c r="F50">
        <v>0.44125577060603299</v>
      </c>
      <c r="G50">
        <v>2400.2682860489599</v>
      </c>
    </row>
    <row r="51" spans="1:7" x14ac:dyDescent="0.3">
      <c r="A51" t="s">
        <v>81</v>
      </c>
      <c r="B51">
        <v>20006.895136929299</v>
      </c>
      <c r="C51">
        <v>19686.764572214299</v>
      </c>
      <c r="D51">
        <v>1.0162612075509301</v>
      </c>
      <c r="E51" t="s">
        <v>32</v>
      </c>
      <c r="F51">
        <v>0.43983372720706099</v>
      </c>
      <c r="G51">
        <v>8412.6002240617399</v>
      </c>
    </row>
    <row r="52" spans="1:7" x14ac:dyDescent="0.3">
      <c r="A52" t="s">
        <v>82</v>
      </c>
      <c r="B52">
        <v>30372.8205683948</v>
      </c>
      <c r="C52">
        <v>30222.3695446196</v>
      </c>
      <c r="D52">
        <v>1.00497813460831</v>
      </c>
      <c r="E52" t="s">
        <v>32</v>
      </c>
      <c r="F52">
        <v>0.44901813521408601</v>
      </c>
      <c r="G52">
        <v>13356.2987959448</v>
      </c>
    </row>
    <row r="53" spans="1:7" x14ac:dyDescent="0.3">
      <c r="A53" t="s">
        <v>83</v>
      </c>
      <c r="B53">
        <v>62689.984021976299</v>
      </c>
      <c r="C53">
        <v>62536.4153009289</v>
      </c>
      <c r="D53">
        <v>1.00245566875409</v>
      </c>
      <c r="E53" t="s">
        <v>32</v>
      </c>
      <c r="F53">
        <v>0.45342978578820098</v>
      </c>
      <c r="G53">
        <v>26414.3848069991</v>
      </c>
    </row>
    <row r="54" spans="1:7" x14ac:dyDescent="0.3">
      <c r="A54" t="s">
        <v>84</v>
      </c>
      <c r="B54">
        <v>85738.795539511601</v>
      </c>
      <c r="C54">
        <v>85657.668360582204</v>
      </c>
      <c r="D54">
        <v>1.0009471093538</v>
      </c>
      <c r="E54" t="s">
        <v>32</v>
      </c>
      <c r="F54">
        <v>0.41252577847010102</v>
      </c>
      <c r="G54">
        <v>35250.772196005302</v>
      </c>
    </row>
    <row r="55" spans="1:7" x14ac:dyDescent="0.3">
      <c r="A55" t="s">
        <v>85</v>
      </c>
      <c r="B55">
        <v>229094.94905713</v>
      </c>
      <c r="C55">
        <v>228595.757591259</v>
      </c>
      <c r="D55">
        <v>1.00218373022811</v>
      </c>
      <c r="E55" t="s">
        <v>32</v>
      </c>
      <c r="F55">
        <v>0.46705667532052098</v>
      </c>
      <c r="G55">
        <v>105195.412810013</v>
      </c>
    </row>
    <row r="56" spans="1:7" x14ac:dyDescent="0.3">
      <c r="A56" t="s">
        <v>86</v>
      </c>
      <c r="B56">
        <v>225620.74306891899</v>
      </c>
      <c r="C56">
        <v>225168.716906566</v>
      </c>
      <c r="D56">
        <v>1.0020074998363999</v>
      </c>
      <c r="E56" t="s">
        <v>32</v>
      </c>
      <c r="F56">
        <v>0.442904532875665</v>
      </c>
      <c r="G56">
        <v>87227.633871987098</v>
      </c>
    </row>
    <row r="57" spans="1:7" x14ac:dyDescent="0.3">
      <c r="A57" t="s">
        <v>87</v>
      </c>
      <c r="B57">
        <v>5264.5871394306396</v>
      </c>
      <c r="C57">
        <v>5245.8430896160398</v>
      </c>
      <c r="D57">
        <v>1.00357312437569</v>
      </c>
      <c r="E57" t="s">
        <v>32</v>
      </c>
      <c r="F57">
        <v>0.35688124252805298</v>
      </c>
      <c r="G57">
        <v>1329.9676775059199</v>
      </c>
    </row>
    <row r="58" spans="1:7" x14ac:dyDescent="0.3">
      <c r="A58" t="s">
        <v>88</v>
      </c>
      <c r="B58">
        <v>0</v>
      </c>
      <c r="C58">
        <v>0</v>
      </c>
      <c r="E58" t="s">
        <v>32</v>
      </c>
      <c r="G58">
        <v>0</v>
      </c>
    </row>
    <row r="59" spans="1:7" x14ac:dyDescent="0.3">
      <c r="A59" t="s">
        <v>89</v>
      </c>
      <c r="B59">
        <v>48110.331895506999</v>
      </c>
      <c r="C59">
        <v>47831.892649040899</v>
      </c>
      <c r="D59">
        <v>1.00582120487075</v>
      </c>
      <c r="E59" t="s">
        <v>32</v>
      </c>
      <c r="F59">
        <v>0.33101748512131701</v>
      </c>
      <c r="G59">
        <v>10605.8129508001</v>
      </c>
    </row>
    <row r="60" spans="1:7" x14ac:dyDescent="0.3">
      <c r="A60" t="s">
        <v>90</v>
      </c>
      <c r="B60">
        <v>145028.890533489</v>
      </c>
      <c r="C60">
        <v>144766.167729173</v>
      </c>
      <c r="D60">
        <v>1.00181480803447</v>
      </c>
      <c r="E60" t="s">
        <v>32</v>
      </c>
      <c r="F60">
        <v>0.42890119751120298</v>
      </c>
      <c r="G60">
        <v>50733.622302179501</v>
      </c>
    </row>
    <row r="61" spans="1:7" x14ac:dyDescent="0.3">
      <c r="A61" t="s">
        <v>91</v>
      </c>
      <c r="B61">
        <v>139231.83246478499</v>
      </c>
      <c r="C61">
        <v>139090.96676644799</v>
      </c>
      <c r="D61">
        <v>1.0010127595027301</v>
      </c>
      <c r="E61" t="s">
        <v>32</v>
      </c>
      <c r="F61">
        <v>0.33819710281631798</v>
      </c>
      <c r="G61">
        <v>42130.163842281298</v>
      </c>
    </row>
    <row r="62" spans="1:7" x14ac:dyDescent="0.3">
      <c r="A62" t="s">
        <v>92</v>
      </c>
      <c r="B62">
        <v>382312.27115568699</v>
      </c>
      <c r="C62">
        <v>381326.48032218101</v>
      </c>
      <c r="D62">
        <v>1.0025851622805499</v>
      </c>
      <c r="E62" t="s">
        <v>32</v>
      </c>
      <c r="F62">
        <v>0.41628018046344201</v>
      </c>
      <c r="G62">
        <v>130227.26449746299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2537-EF9A-456B-8527-CFAEB18581B0}">
  <dimension ref="A1:G62"/>
  <sheetViews>
    <sheetView workbookViewId="0">
      <selection activeCell="H19" sqref="H19"/>
    </sheetView>
  </sheetViews>
  <sheetFormatPr defaultRowHeight="14.4" x14ac:dyDescent="0.3"/>
  <sheetData>
    <row r="1" spans="1:7" x14ac:dyDescent="0.3">
      <c r="A1" t="s">
        <v>26</v>
      </c>
      <c r="B1" t="s">
        <v>24</v>
      </c>
      <c r="C1" t="s">
        <v>25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 t="s">
        <v>31</v>
      </c>
      <c r="B2">
        <v>74135.231176333604</v>
      </c>
      <c r="C2">
        <v>74103.948538086697</v>
      </c>
      <c r="D2">
        <v>1.0004221453628801</v>
      </c>
      <c r="E2" t="s">
        <v>32</v>
      </c>
      <c r="F2">
        <v>0.33901082381992598</v>
      </c>
      <c r="G2">
        <v>20884.047629368699</v>
      </c>
    </row>
    <row r="3" spans="1:7" x14ac:dyDescent="0.3">
      <c r="A3" t="s">
        <v>33</v>
      </c>
      <c r="B3">
        <v>18178.182218581002</v>
      </c>
      <c r="C3">
        <v>18151.096337787902</v>
      </c>
      <c r="D3">
        <v>1.0014922448919299</v>
      </c>
      <c r="E3" t="s">
        <v>32</v>
      </c>
      <c r="F3">
        <v>0.519030910139057</v>
      </c>
      <c r="G3">
        <v>9390.3993402338892</v>
      </c>
    </row>
    <row r="4" spans="1:7" x14ac:dyDescent="0.3">
      <c r="A4" t="s">
        <v>34</v>
      </c>
      <c r="B4">
        <v>75434.433375244203</v>
      </c>
      <c r="C4">
        <v>75334.581731299695</v>
      </c>
      <c r="D4">
        <v>1.0013254423353699</v>
      </c>
      <c r="E4" t="s">
        <v>32</v>
      </c>
      <c r="F4">
        <v>0.48324520161193601</v>
      </c>
      <c r="G4">
        <v>35023.183875348703</v>
      </c>
    </row>
    <row r="5" spans="1:7" x14ac:dyDescent="0.3">
      <c r="A5" t="s">
        <v>35</v>
      </c>
      <c r="B5">
        <v>67277.461799407494</v>
      </c>
      <c r="C5">
        <v>67165.8796223963</v>
      </c>
      <c r="D5">
        <v>1.00166129257352</v>
      </c>
      <c r="E5" t="s">
        <v>32</v>
      </c>
      <c r="F5">
        <v>0.36618180307491399</v>
      </c>
      <c r="G5">
        <v>23297.2310215176</v>
      </c>
    </row>
    <row r="6" spans="1:7" x14ac:dyDescent="0.3">
      <c r="A6" t="s">
        <v>36</v>
      </c>
      <c r="B6">
        <v>49577.084541013101</v>
      </c>
      <c r="C6">
        <v>49561.061540075701</v>
      </c>
      <c r="D6">
        <v>1.0003232981788399</v>
      </c>
      <c r="E6" t="s">
        <v>32</v>
      </c>
      <c r="F6">
        <v>0.35966634998699498</v>
      </c>
      <c r="G6">
        <v>15664.398469149201</v>
      </c>
    </row>
    <row r="7" spans="1:7" x14ac:dyDescent="0.3">
      <c r="A7" t="s">
        <v>37</v>
      </c>
      <c r="B7">
        <v>99459.190194814204</v>
      </c>
      <c r="C7">
        <v>99365.876868328196</v>
      </c>
      <c r="D7">
        <v>1.0009390882406199</v>
      </c>
      <c r="E7" t="s">
        <v>32</v>
      </c>
      <c r="F7">
        <v>0.41681111902051898</v>
      </c>
      <c r="G7">
        <v>35945.374256720701</v>
      </c>
    </row>
    <row r="8" spans="1:7" x14ac:dyDescent="0.3">
      <c r="A8" t="s">
        <v>38</v>
      </c>
      <c r="B8">
        <v>177108.140999814</v>
      </c>
      <c r="C8">
        <v>176899.012390894</v>
      </c>
      <c r="D8">
        <v>1.0011821920659301</v>
      </c>
      <c r="E8" t="s">
        <v>32</v>
      </c>
      <c r="F8">
        <v>0.36766354186084699</v>
      </c>
      <c r="G8">
        <v>56248.617468625504</v>
      </c>
    </row>
    <row r="9" spans="1:7" x14ac:dyDescent="0.3">
      <c r="A9" t="s">
        <v>39</v>
      </c>
      <c r="B9">
        <v>5566.0080514193496</v>
      </c>
      <c r="C9">
        <v>5552.5159231685302</v>
      </c>
      <c r="D9">
        <v>1.00242991257252</v>
      </c>
      <c r="E9" t="s">
        <v>32</v>
      </c>
      <c r="F9">
        <v>0.564641491528169</v>
      </c>
      <c r="G9">
        <v>3123.90096919093</v>
      </c>
    </row>
    <row r="10" spans="1:7" x14ac:dyDescent="0.3">
      <c r="A10" t="s">
        <v>40</v>
      </c>
      <c r="B10">
        <v>4697.0555661997396</v>
      </c>
      <c r="C10">
        <v>4671.3047675572898</v>
      </c>
      <c r="D10">
        <v>1.0055125494746699</v>
      </c>
      <c r="E10" t="s">
        <v>32</v>
      </c>
      <c r="F10">
        <v>0.62215951454593399</v>
      </c>
      <c r="G10">
        <v>2895.2129171820402</v>
      </c>
    </row>
    <row r="11" spans="1:7" x14ac:dyDescent="0.3">
      <c r="A11" t="s">
        <v>41</v>
      </c>
      <c r="B11">
        <v>225218.775962446</v>
      </c>
      <c r="C11">
        <v>224713.44493020501</v>
      </c>
      <c r="D11">
        <v>1.0022487796953901</v>
      </c>
      <c r="E11" t="s">
        <v>32</v>
      </c>
      <c r="F11">
        <v>0.43173981574502202</v>
      </c>
      <c r="G11">
        <v>93672.179297469207</v>
      </c>
    </row>
    <row r="12" spans="1:7" x14ac:dyDescent="0.3">
      <c r="A12" t="s">
        <v>42</v>
      </c>
      <c r="B12">
        <v>1772.71844143966</v>
      </c>
      <c r="C12">
        <v>1771.45047531258</v>
      </c>
      <c r="D12">
        <v>1.0007157784791301</v>
      </c>
      <c r="E12" t="s">
        <v>32</v>
      </c>
      <c r="F12">
        <v>0.57310445849989</v>
      </c>
      <c r="G12">
        <v>1014.9932084082</v>
      </c>
    </row>
    <row r="13" spans="1:7" x14ac:dyDescent="0.3">
      <c r="A13" t="s">
        <v>43</v>
      </c>
      <c r="B13">
        <v>2072.80526533993</v>
      </c>
      <c r="C13">
        <v>2071.06208454631</v>
      </c>
      <c r="D13">
        <v>1.0008416844703101</v>
      </c>
      <c r="E13" t="s">
        <v>32</v>
      </c>
      <c r="F13">
        <v>0.439988827151572</v>
      </c>
      <c r="G13">
        <v>906.74700119169995</v>
      </c>
    </row>
    <row r="14" spans="1:7" x14ac:dyDescent="0.3">
      <c r="A14" t="s">
        <v>44</v>
      </c>
      <c r="B14">
        <v>0</v>
      </c>
      <c r="C14">
        <v>0</v>
      </c>
      <c r="E14" t="s">
        <v>32</v>
      </c>
      <c r="G14">
        <v>0</v>
      </c>
    </row>
    <row r="15" spans="1:7" x14ac:dyDescent="0.3">
      <c r="A15" t="s">
        <v>45</v>
      </c>
      <c r="B15">
        <v>38224.242333540104</v>
      </c>
      <c r="C15">
        <v>38200.432483820099</v>
      </c>
      <c r="D15">
        <v>1.00062328743869</v>
      </c>
      <c r="E15" t="s">
        <v>32</v>
      </c>
      <c r="F15">
        <v>0.35508245347165202</v>
      </c>
      <c r="G15">
        <v>11846.354975768299</v>
      </c>
    </row>
    <row r="16" spans="1:7" x14ac:dyDescent="0.3">
      <c r="A16" t="s">
        <v>46</v>
      </c>
      <c r="B16">
        <v>131901.07276352399</v>
      </c>
      <c r="C16">
        <v>131650.06268371601</v>
      </c>
      <c r="D16">
        <v>1.00190664610931</v>
      </c>
      <c r="E16" t="s">
        <v>32</v>
      </c>
      <c r="F16">
        <v>0.39385862605240002</v>
      </c>
      <c r="G16">
        <v>46762.579740635003</v>
      </c>
    </row>
    <row r="17" spans="1:7" x14ac:dyDescent="0.3">
      <c r="A17" t="s">
        <v>47</v>
      </c>
      <c r="B17">
        <v>69205.387758753204</v>
      </c>
      <c r="C17">
        <v>69136.716236620501</v>
      </c>
      <c r="D17">
        <v>1.0009932713884999</v>
      </c>
      <c r="E17" t="s">
        <v>32</v>
      </c>
      <c r="F17">
        <v>0.41630732394509901</v>
      </c>
      <c r="G17">
        <v>23155.711959415799</v>
      </c>
    </row>
    <row r="18" spans="1:7" x14ac:dyDescent="0.3">
      <c r="A18" t="s">
        <v>48</v>
      </c>
      <c r="B18">
        <v>0</v>
      </c>
      <c r="C18">
        <v>0</v>
      </c>
      <c r="E18" t="s">
        <v>32</v>
      </c>
      <c r="G18">
        <v>0</v>
      </c>
    </row>
    <row r="19" spans="1:7" x14ac:dyDescent="0.3">
      <c r="A19" t="s">
        <v>49</v>
      </c>
      <c r="B19">
        <v>19056.302685159299</v>
      </c>
      <c r="C19">
        <v>19014.6941147902</v>
      </c>
      <c r="D19">
        <v>1.0021882324331799</v>
      </c>
      <c r="E19" t="s">
        <v>32</v>
      </c>
      <c r="F19">
        <v>0.54718744085403404</v>
      </c>
      <c r="G19">
        <v>9981.9907263271398</v>
      </c>
    </row>
    <row r="20" spans="1:7" x14ac:dyDescent="0.3">
      <c r="A20" t="s">
        <v>50</v>
      </c>
      <c r="B20">
        <v>47402.128473773497</v>
      </c>
      <c r="C20">
        <v>47287.597125086897</v>
      </c>
      <c r="D20">
        <v>1.0024220166734901</v>
      </c>
      <c r="E20" t="s">
        <v>32</v>
      </c>
      <c r="F20">
        <v>0.45798612286572898</v>
      </c>
      <c r="G20">
        <v>18242.013999720199</v>
      </c>
    </row>
    <row r="21" spans="1:7" x14ac:dyDescent="0.3">
      <c r="A21" t="s">
        <v>51</v>
      </c>
      <c r="B21">
        <v>0</v>
      </c>
      <c r="C21">
        <v>0</v>
      </c>
      <c r="E21" t="s">
        <v>32</v>
      </c>
      <c r="G21">
        <v>0</v>
      </c>
    </row>
    <row r="22" spans="1:7" x14ac:dyDescent="0.3">
      <c r="A22" t="s">
        <v>52</v>
      </c>
      <c r="B22">
        <v>0</v>
      </c>
      <c r="C22">
        <v>0</v>
      </c>
      <c r="E22" t="s">
        <v>32</v>
      </c>
      <c r="G22">
        <v>0</v>
      </c>
    </row>
    <row r="23" spans="1:7" x14ac:dyDescent="0.3">
      <c r="A23" t="s">
        <v>53</v>
      </c>
      <c r="B23">
        <v>1734.1458758261199</v>
      </c>
      <c r="C23">
        <v>1732.6293551090801</v>
      </c>
      <c r="D23">
        <v>1.0008752712820901</v>
      </c>
      <c r="E23" t="s">
        <v>32</v>
      </c>
      <c r="F23">
        <v>0.333242823088573</v>
      </c>
      <c r="G23">
        <v>404.57310946352197</v>
      </c>
    </row>
    <row r="24" spans="1:7" x14ac:dyDescent="0.3">
      <c r="A24" t="s">
        <v>54</v>
      </c>
      <c r="B24">
        <v>79945.590949376099</v>
      </c>
      <c r="C24">
        <v>79880.364732486196</v>
      </c>
      <c r="D24">
        <v>1.0008165488115599</v>
      </c>
      <c r="E24" t="s">
        <v>32</v>
      </c>
      <c r="F24">
        <v>0.467739859060323</v>
      </c>
      <c r="G24">
        <v>35681.204672918902</v>
      </c>
    </row>
    <row r="25" spans="1:7" x14ac:dyDescent="0.3">
      <c r="A25" t="s">
        <v>55</v>
      </c>
      <c r="B25">
        <v>6119.1298452974797</v>
      </c>
      <c r="C25">
        <v>6115.7776440451098</v>
      </c>
      <c r="D25">
        <v>1.00054812346809</v>
      </c>
      <c r="E25" t="s">
        <v>32</v>
      </c>
      <c r="F25">
        <v>0.40907949530328103</v>
      </c>
      <c r="G25">
        <v>2004.3921475715899</v>
      </c>
    </row>
    <row r="26" spans="1:7" x14ac:dyDescent="0.3">
      <c r="A26" t="s">
        <v>56</v>
      </c>
      <c r="B26">
        <v>6514.9310724496299</v>
      </c>
      <c r="C26">
        <v>6513.3653520674197</v>
      </c>
      <c r="D26">
        <v>1.0002403857756399</v>
      </c>
      <c r="E26" t="s">
        <v>32</v>
      </c>
      <c r="F26">
        <v>0.34862611039649199</v>
      </c>
      <c r="G26">
        <v>2146.8775336638801</v>
      </c>
    </row>
    <row r="27" spans="1:7" x14ac:dyDescent="0.3">
      <c r="A27" t="s">
        <v>57</v>
      </c>
      <c r="B27">
        <v>31808.392763600401</v>
      </c>
      <c r="C27">
        <v>31784.377968190802</v>
      </c>
      <c r="D27">
        <v>1.00075555341789</v>
      </c>
      <c r="E27" t="s">
        <v>32</v>
      </c>
      <c r="F27">
        <v>0.29746086339317002</v>
      </c>
      <c r="G27">
        <v>9413.6460930932699</v>
      </c>
    </row>
    <row r="28" spans="1:7" x14ac:dyDescent="0.3">
      <c r="A28" t="s">
        <v>58</v>
      </c>
      <c r="B28">
        <v>0</v>
      </c>
      <c r="C28">
        <v>0</v>
      </c>
      <c r="E28" t="s">
        <v>32</v>
      </c>
      <c r="G28">
        <v>0</v>
      </c>
    </row>
    <row r="29" spans="1:7" x14ac:dyDescent="0.3">
      <c r="A29" t="s">
        <v>59</v>
      </c>
      <c r="B29">
        <v>125552.15916589199</v>
      </c>
      <c r="C29">
        <v>125481.85761114401</v>
      </c>
      <c r="D29">
        <v>1.00056025274159</v>
      </c>
      <c r="E29" t="s">
        <v>32</v>
      </c>
      <c r="F29">
        <v>0.461207019054926</v>
      </c>
      <c r="G29">
        <v>56665.937309044901</v>
      </c>
    </row>
    <row r="30" spans="1:7" x14ac:dyDescent="0.3">
      <c r="A30" t="s">
        <v>60</v>
      </c>
      <c r="B30">
        <v>35683.771323340603</v>
      </c>
      <c r="C30">
        <v>35612.530588363603</v>
      </c>
      <c r="D30">
        <v>1.0020004401203699</v>
      </c>
      <c r="E30" t="s">
        <v>32</v>
      </c>
      <c r="F30">
        <v>0.52477961799554895</v>
      </c>
      <c r="G30">
        <v>18485.3113198922</v>
      </c>
    </row>
    <row r="31" spans="1:7" x14ac:dyDescent="0.3">
      <c r="A31" t="s">
        <v>61</v>
      </c>
      <c r="B31">
        <v>191705.91539813101</v>
      </c>
      <c r="C31">
        <v>191549.71247953901</v>
      </c>
      <c r="D31">
        <v>1.0008154693451099</v>
      </c>
      <c r="E31" t="s">
        <v>32</v>
      </c>
      <c r="F31">
        <v>0.45206624932243999</v>
      </c>
      <c r="G31">
        <v>84039.870588400503</v>
      </c>
    </row>
    <row r="32" spans="1:7" x14ac:dyDescent="0.3">
      <c r="A32" t="s">
        <v>62</v>
      </c>
      <c r="B32">
        <v>81093.886962164193</v>
      </c>
      <c r="C32">
        <v>80901.440768070999</v>
      </c>
      <c r="D32">
        <v>1.00237877338482</v>
      </c>
      <c r="E32" t="s">
        <v>32</v>
      </c>
      <c r="F32">
        <v>0.39893595326360198</v>
      </c>
      <c r="G32">
        <v>28776.902876474502</v>
      </c>
    </row>
    <row r="33" spans="1:7" x14ac:dyDescent="0.3">
      <c r="A33" t="s">
        <v>63</v>
      </c>
      <c r="B33">
        <v>0</v>
      </c>
      <c r="C33">
        <v>0</v>
      </c>
      <c r="E33" t="s">
        <v>32</v>
      </c>
      <c r="G33">
        <v>0</v>
      </c>
    </row>
    <row r="34" spans="1:7" x14ac:dyDescent="0.3">
      <c r="A34" t="s">
        <v>64</v>
      </c>
      <c r="B34">
        <v>0</v>
      </c>
      <c r="C34">
        <v>0</v>
      </c>
      <c r="E34" t="s">
        <v>32</v>
      </c>
      <c r="G34">
        <v>0</v>
      </c>
    </row>
    <row r="35" spans="1:7" x14ac:dyDescent="0.3">
      <c r="A35" t="s">
        <v>65</v>
      </c>
      <c r="B35">
        <v>0</v>
      </c>
      <c r="C35">
        <v>0</v>
      </c>
      <c r="E35" t="s">
        <v>32</v>
      </c>
      <c r="G35">
        <v>0</v>
      </c>
    </row>
    <row r="36" spans="1:7" x14ac:dyDescent="0.3">
      <c r="A36" t="s">
        <v>66</v>
      </c>
      <c r="B36">
        <v>17250.631577025899</v>
      </c>
      <c r="C36">
        <v>17223.875948553999</v>
      </c>
      <c r="D36">
        <v>1.0015534034587601</v>
      </c>
      <c r="E36" t="s">
        <v>32</v>
      </c>
      <c r="F36">
        <v>0.37221060299235098</v>
      </c>
      <c r="G36">
        <v>4508.6914280376895</v>
      </c>
    </row>
    <row r="37" spans="1:7" x14ac:dyDescent="0.3">
      <c r="A37" t="s">
        <v>67</v>
      </c>
      <c r="B37">
        <v>15457.1691619293</v>
      </c>
      <c r="C37">
        <v>15429.2089488282</v>
      </c>
      <c r="D37">
        <v>1.0018121611544599</v>
      </c>
      <c r="E37" t="s">
        <v>32</v>
      </c>
      <c r="F37">
        <v>0.34873931881097803</v>
      </c>
      <c r="G37">
        <v>4137.3916646735497</v>
      </c>
    </row>
    <row r="38" spans="1:7" x14ac:dyDescent="0.3">
      <c r="A38" t="s">
        <v>68</v>
      </c>
      <c r="B38">
        <v>38509.877186143101</v>
      </c>
      <c r="C38">
        <v>38457.1141285095</v>
      </c>
      <c r="D38">
        <v>1.00137199732297</v>
      </c>
      <c r="E38" t="s">
        <v>32</v>
      </c>
      <c r="F38">
        <v>0.50206065545364698</v>
      </c>
      <c r="G38">
        <v>17978.853285225599</v>
      </c>
    </row>
    <row r="39" spans="1:7" x14ac:dyDescent="0.3">
      <c r="A39" t="s">
        <v>69</v>
      </c>
      <c r="B39">
        <v>0</v>
      </c>
      <c r="C39">
        <v>0</v>
      </c>
      <c r="E39" t="s">
        <v>32</v>
      </c>
      <c r="G39">
        <v>0</v>
      </c>
    </row>
    <row r="40" spans="1:7" x14ac:dyDescent="0.3">
      <c r="A40" t="s">
        <v>70</v>
      </c>
      <c r="B40">
        <v>0</v>
      </c>
      <c r="C40">
        <v>0</v>
      </c>
      <c r="E40" t="s">
        <v>32</v>
      </c>
      <c r="G40">
        <v>0</v>
      </c>
    </row>
    <row r="41" spans="1:7" x14ac:dyDescent="0.3">
      <c r="A41" t="s">
        <v>71</v>
      </c>
      <c r="B41">
        <v>0</v>
      </c>
      <c r="C41">
        <v>0</v>
      </c>
      <c r="E41" t="s">
        <v>32</v>
      </c>
      <c r="G41">
        <v>0</v>
      </c>
    </row>
    <row r="42" spans="1:7" x14ac:dyDescent="0.3">
      <c r="A42" t="s">
        <v>72</v>
      </c>
      <c r="B42">
        <v>86481.913820077607</v>
      </c>
      <c r="C42">
        <v>86442.659087114793</v>
      </c>
      <c r="D42">
        <v>1.00045411297358</v>
      </c>
      <c r="E42" t="s">
        <v>32</v>
      </c>
      <c r="F42">
        <v>0.448845737001623</v>
      </c>
      <c r="G42">
        <v>30865.214108116801</v>
      </c>
    </row>
    <row r="43" spans="1:7" x14ac:dyDescent="0.3">
      <c r="A43" t="s">
        <v>73</v>
      </c>
      <c r="B43">
        <v>60616.1229499439</v>
      </c>
      <c r="C43">
        <v>60520.683544155203</v>
      </c>
      <c r="D43">
        <v>1.00157697170949</v>
      </c>
      <c r="E43" t="s">
        <v>32</v>
      </c>
      <c r="F43">
        <v>0.39524948010647898</v>
      </c>
      <c r="G43">
        <v>23768.6485626508</v>
      </c>
    </row>
    <row r="44" spans="1:7" x14ac:dyDescent="0.3">
      <c r="A44" t="s">
        <v>74</v>
      </c>
      <c r="B44">
        <v>42275.172500419001</v>
      </c>
      <c r="C44">
        <v>42238.3326103203</v>
      </c>
      <c r="D44">
        <v>1.0008721909181</v>
      </c>
      <c r="E44" t="s">
        <v>32</v>
      </c>
      <c r="F44">
        <v>0.45242981800613902</v>
      </c>
      <c r="G44">
        <v>19070.459216374398</v>
      </c>
    </row>
    <row r="45" spans="1:7" x14ac:dyDescent="0.3">
      <c r="A45" t="s">
        <v>75</v>
      </c>
      <c r="B45">
        <v>18745.616752343001</v>
      </c>
      <c r="C45">
        <v>18722.400362055399</v>
      </c>
      <c r="D45">
        <v>1.00124003278632</v>
      </c>
      <c r="E45" t="s">
        <v>32</v>
      </c>
      <c r="F45">
        <v>0.448703548048972</v>
      </c>
      <c r="G45">
        <v>8378.4371113101206</v>
      </c>
    </row>
    <row r="46" spans="1:7" x14ac:dyDescent="0.3">
      <c r="A46" t="s">
        <v>76</v>
      </c>
      <c r="B46">
        <v>26842.011638555599</v>
      </c>
      <c r="C46">
        <v>26744.7449483444</v>
      </c>
      <c r="D46">
        <v>1.0036368524134001</v>
      </c>
      <c r="E46" t="s">
        <v>32</v>
      </c>
      <c r="F46">
        <v>0.50174669707117703</v>
      </c>
      <c r="G46">
        <v>13272.9050681689</v>
      </c>
    </row>
    <row r="47" spans="1:7" x14ac:dyDescent="0.3">
      <c r="A47" t="s">
        <v>77</v>
      </c>
      <c r="B47">
        <v>61068.859014954302</v>
      </c>
      <c r="C47">
        <v>60879.609462660701</v>
      </c>
      <c r="D47">
        <v>1.00310858683168</v>
      </c>
      <c r="E47" t="s">
        <v>32</v>
      </c>
      <c r="F47">
        <v>0.44200486353051999</v>
      </c>
      <c r="G47">
        <v>26687.066814378901</v>
      </c>
    </row>
    <row r="48" spans="1:7" x14ac:dyDescent="0.3">
      <c r="A48" t="s">
        <v>78</v>
      </c>
      <c r="B48">
        <v>14662.380018584599</v>
      </c>
      <c r="C48">
        <v>14523.120200752201</v>
      </c>
      <c r="D48">
        <v>1.0095888360013101</v>
      </c>
      <c r="E48" t="s">
        <v>32</v>
      </c>
      <c r="F48">
        <v>0.42052814015182399</v>
      </c>
      <c r="G48">
        <v>5911.5237278644399</v>
      </c>
    </row>
    <row r="49" spans="1:7" x14ac:dyDescent="0.3">
      <c r="A49" t="s">
        <v>79</v>
      </c>
      <c r="B49">
        <v>34064.290272761398</v>
      </c>
      <c r="C49">
        <v>33814.444932862003</v>
      </c>
      <c r="D49">
        <v>1.0073887162836901</v>
      </c>
      <c r="E49" t="s">
        <v>32</v>
      </c>
      <c r="F49">
        <v>0.51075267347818698</v>
      </c>
      <c r="G49">
        <v>17212.300470644099</v>
      </c>
    </row>
    <row r="50" spans="1:7" x14ac:dyDescent="0.3">
      <c r="A50" t="s">
        <v>80</v>
      </c>
      <c r="B50">
        <v>1320.5044069656501</v>
      </c>
      <c r="C50">
        <v>1301.21535130387</v>
      </c>
      <c r="D50">
        <v>1.0148238764955</v>
      </c>
      <c r="E50" t="s">
        <v>32</v>
      </c>
      <c r="F50">
        <v>0.63165376340851498</v>
      </c>
      <c r="G50">
        <v>813.51978833352496</v>
      </c>
    </row>
    <row r="51" spans="1:7" x14ac:dyDescent="0.3">
      <c r="A51" t="s">
        <v>81</v>
      </c>
      <c r="B51">
        <v>7116.8466533474102</v>
      </c>
      <c r="C51">
        <v>6993.3394353902604</v>
      </c>
      <c r="D51">
        <v>1.0176606925916001</v>
      </c>
      <c r="E51" t="s">
        <v>32</v>
      </c>
      <c r="F51">
        <v>0.455260330473576</v>
      </c>
      <c r="G51">
        <v>3101.96330571007</v>
      </c>
    </row>
    <row r="52" spans="1:7" x14ac:dyDescent="0.3">
      <c r="A52" t="s">
        <v>82</v>
      </c>
      <c r="B52">
        <v>10486.947278518899</v>
      </c>
      <c r="C52">
        <v>10449.919218499699</v>
      </c>
      <c r="D52">
        <v>1.00354338241712</v>
      </c>
      <c r="E52" t="s">
        <v>32</v>
      </c>
      <c r="F52">
        <v>0.43569400354553001</v>
      </c>
      <c r="G52">
        <v>4499.1848118564003</v>
      </c>
    </row>
    <row r="53" spans="1:7" x14ac:dyDescent="0.3">
      <c r="A53" t="s">
        <v>83</v>
      </c>
      <c r="B53">
        <v>24622.2851031996</v>
      </c>
      <c r="C53">
        <v>24541.454951933501</v>
      </c>
      <c r="D53">
        <v>1.0032936169197899</v>
      </c>
      <c r="E53" t="s">
        <v>32</v>
      </c>
      <c r="F53">
        <v>0.42228162900004801</v>
      </c>
      <c r="G53">
        <v>9577.8971943840806</v>
      </c>
    </row>
    <row r="54" spans="1:7" x14ac:dyDescent="0.3">
      <c r="A54" t="s">
        <v>84</v>
      </c>
      <c r="B54">
        <v>29583.998912093299</v>
      </c>
      <c r="C54">
        <v>29535.642939966201</v>
      </c>
      <c r="D54">
        <v>1.0016372073641699</v>
      </c>
      <c r="E54" t="s">
        <v>32</v>
      </c>
      <c r="F54">
        <v>0.44407197837868401</v>
      </c>
      <c r="G54">
        <v>13097.633149142301</v>
      </c>
    </row>
    <row r="55" spans="1:7" x14ac:dyDescent="0.3">
      <c r="A55" t="s">
        <v>85</v>
      </c>
      <c r="B55">
        <v>74390.257695619497</v>
      </c>
      <c r="C55">
        <v>74235.5422367797</v>
      </c>
      <c r="D55">
        <v>1.0020841156968401</v>
      </c>
      <c r="E55" t="s">
        <v>32</v>
      </c>
      <c r="F55">
        <v>0.49303859071261902</v>
      </c>
      <c r="G55">
        <v>36242.726783099999</v>
      </c>
    </row>
    <row r="56" spans="1:7" x14ac:dyDescent="0.3">
      <c r="A56" t="s">
        <v>86</v>
      </c>
      <c r="B56">
        <v>74130.3429650873</v>
      </c>
      <c r="C56">
        <v>73973.958317247307</v>
      </c>
      <c r="D56">
        <v>1.00211405001702</v>
      </c>
      <c r="E56" t="s">
        <v>32</v>
      </c>
      <c r="F56">
        <v>0.44480530996088502</v>
      </c>
      <c r="G56">
        <v>29614.122255348699</v>
      </c>
    </row>
    <row r="57" spans="1:7" x14ac:dyDescent="0.3">
      <c r="A57" t="s">
        <v>87</v>
      </c>
      <c r="B57">
        <v>1565.95111667213</v>
      </c>
      <c r="C57">
        <v>1559.3307204564901</v>
      </c>
      <c r="D57">
        <v>1.0042456652259699</v>
      </c>
      <c r="E57" t="s">
        <v>32</v>
      </c>
      <c r="F57">
        <v>0.38171965687363502</v>
      </c>
      <c r="G57">
        <v>517.20071259690906</v>
      </c>
    </row>
    <row r="58" spans="1:7" x14ac:dyDescent="0.3">
      <c r="A58" t="s">
        <v>88</v>
      </c>
      <c r="B58">
        <v>0</v>
      </c>
      <c r="C58">
        <v>0</v>
      </c>
      <c r="E58" t="s">
        <v>32</v>
      </c>
      <c r="G58">
        <v>0</v>
      </c>
    </row>
    <row r="59" spans="1:7" x14ac:dyDescent="0.3">
      <c r="A59" t="s">
        <v>89</v>
      </c>
      <c r="B59">
        <v>13545.2760001184</v>
      </c>
      <c r="C59">
        <v>13453.973152677299</v>
      </c>
      <c r="D59">
        <v>1.00678631110713</v>
      </c>
      <c r="E59" t="s">
        <v>32</v>
      </c>
      <c r="F59">
        <v>0.362052736931744</v>
      </c>
      <c r="G59">
        <v>3593.2316237720001</v>
      </c>
    </row>
    <row r="60" spans="1:7" x14ac:dyDescent="0.3">
      <c r="A60" t="s">
        <v>90</v>
      </c>
      <c r="B60">
        <v>50108.6293802789</v>
      </c>
      <c r="C60">
        <v>50001.054931736799</v>
      </c>
      <c r="D60">
        <v>1.0021514435783201</v>
      </c>
      <c r="E60" t="s">
        <v>32</v>
      </c>
      <c r="F60">
        <v>0.41360734606410599</v>
      </c>
      <c r="G60">
        <v>17148.171377984301</v>
      </c>
    </row>
    <row r="61" spans="1:7" x14ac:dyDescent="0.3">
      <c r="A61" t="s">
        <v>91</v>
      </c>
      <c r="B61">
        <v>45332.408715334801</v>
      </c>
      <c r="C61">
        <v>45264.457547404098</v>
      </c>
      <c r="D61">
        <v>1.0015012036288999</v>
      </c>
      <c r="E61" t="s">
        <v>32</v>
      </c>
      <c r="F61">
        <v>0.33970115831286501</v>
      </c>
      <c r="G61">
        <v>13448.722604430501</v>
      </c>
    </row>
    <row r="62" spans="1:7" x14ac:dyDescent="0.3">
      <c r="A62" t="s">
        <v>92</v>
      </c>
      <c r="B62">
        <v>120312.89657074799</v>
      </c>
      <c r="C62">
        <v>119965.32147241601</v>
      </c>
      <c r="D62">
        <v>1.00289729643589</v>
      </c>
      <c r="E62" t="s">
        <v>32</v>
      </c>
      <c r="F62">
        <v>0.42755209871823302</v>
      </c>
      <c r="G62">
        <v>43283.823772181902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302F-5B30-4F94-A96B-83BDBC173415}">
  <dimension ref="A1:G62"/>
  <sheetViews>
    <sheetView workbookViewId="0">
      <selection activeCell="K11" sqref="K11"/>
    </sheetView>
  </sheetViews>
  <sheetFormatPr defaultRowHeight="14.4" x14ac:dyDescent="0.3"/>
  <sheetData>
    <row r="1" spans="1:7" x14ac:dyDescent="0.3">
      <c r="A1" t="s">
        <v>26</v>
      </c>
      <c r="B1" t="s">
        <v>24</v>
      </c>
      <c r="C1" t="s">
        <v>25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 t="s">
        <v>31</v>
      </c>
      <c r="B2">
        <v>74555.825226032801</v>
      </c>
      <c r="C2">
        <v>74524.495896701395</v>
      </c>
      <c r="D2">
        <v>1.0004203896846799</v>
      </c>
      <c r="E2" t="s">
        <v>32</v>
      </c>
      <c r="F2">
        <v>0.338629185683954</v>
      </c>
      <c r="G2">
        <v>20952.340896268099</v>
      </c>
    </row>
    <row r="3" spans="1:7" x14ac:dyDescent="0.3">
      <c r="A3" t="s">
        <v>33</v>
      </c>
      <c r="B3">
        <v>19756.686833533</v>
      </c>
      <c r="C3">
        <v>19729.4453984348</v>
      </c>
      <c r="D3">
        <v>1.0013807501705201</v>
      </c>
      <c r="E3" t="s">
        <v>32</v>
      </c>
      <c r="F3">
        <v>0.505968650593</v>
      </c>
      <c r="G3">
        <v>9872.7521246193992</v>
      </c>
    </row>
    <row r="4" spans="1:7" x14ac:dyDescent="0.3">
      <c r="A4" t="s">
        <v>34</v>
      </c>
      <c r="B4">
        <v>78332.170169034303</v>
      </c>
      <c r="C4">
        <v>78230.226108548901</v>
      </c>
      <c r="D4">
        <v>1.0013031287976</v>
      </c>
      <c r="E4" t="s">
        <v>32</v>
      </c>
      <c r="F4">
        <v>0.47808872108060702</v>
      </c>
      <c r="G4">
        <v>35769.223746700103</v>
      </c>
    </row>
    <row r="5" spans="1:7" x14ac:dyDescent="0.3">
      <c r="A5" t="s">
        <v>35</v>
      </c>
      <c r="B5">
        <v>68729.759038750999</v>
      </c>
      <c r="C5">
        <v>68616.999506634602</v>
      </c>
      <c r="D5">
        <v>1.0016433177336099</v>
      </c>
      <c r="E5" t="s">
        <v>32</v>
      </c>
      <c r="F5">
        <v>0.365432972888661</v>
      </c>
      <c r="G5">
        <v>23696.620496695999</v>
      </c>
    </row>
    <row r="6" spans="1:7" x14ac:dyDescent="0.3">
      <c r="A6" t="s">
        <v>36</v>
      </c>
      <c r="B6">
        <v>49709.423896245004</v>
      </c>
      <c r="C6">
        <v>49693.260988570502</v>
      </c>
      <c r="D6">
        <v>1.0003252535123</v>
      </c>
      <c r="E6" t="s">
        <v>32</v>
      </c>
      <c r="F6">
        <v>0.36003174043880498</v>
      </c>
      <c r="G6">
        <v>15724.715856738399</v>
      </c>
    </row>
    <row r="7" spans="1:7" x14ac:dyDescent="0.3">
      <c r="A7" t="s">
        <v>37</v>
      </c>
      <c r="B7">
        <v>101894.37109977999</v>
      </c>
      <c r="C7">
        <v>101800.253204801</v>
      </c>
      <c r="D7">
        <v>1.0009245349792</v>
      </c>
      <c r="E7" t="s">
        <v>32</v>
      </c>
      <c r="F7">
        <v>0.41511888686450799</v>
      </c>
      <c r="G7">
        <v>36528.814771885503</v>
      </c>
    </row>
    <row r="8" spans="1:7" x14ac:dyDescent="0.3">
      <c r="A8" t="s">
        <v>38</v>
      </c>
      <c r="B8">
        <v>185379.39528711801</v>
      </c>
      <c r="C8">
        <v>185167.93456253299</v>
      </c>
      <c r="D8">
        <v>1.0011419942933599</v>
      </c>
      <c r="E8" t="s">
        <v>32</v>
      </c>
      <c r="F8">
        <v>0.36375619672939902</v>
      </c>
      <c r="G8">
        <v>57912.791337405703</v>
      </c>
    </row>
    <row r="9" spans="1:7" x14ac:dyDescent="0.3">
      <c r="A9" t="s">
        <v>39</v>
      </c>
      <c r="B9">
        <v>8991.0085586008499</v>
      </c>
      <c r="C9">
        <v>8976.9029869447204</v>
      </c>
      <c r="D9">
        <v>1.0015713182682899</v>
      </c>
      <c r="E9" t="s">
        <v>32</v>
      </c>
      <c r="F9">
        <v>0.51792314912734705</v>
      </c>
      <c r="G9">
        <v>4612.7714112099702</v>
      </c>
    </row>
    <row r="10" spans="1:7" x14ac:dyDescent="0.3">
      <c r="A10" t="s">
        <v>40</v>
      </c>
      <c r="B10">
        <v>8841.0966084950505</v>
      </c>
      <c r="C10">
        <v>8812.31792666193</v>
      </c>
      <c r="D10">
        <v>1.00326573349629</v>
      </c>
      <c r="E10" t="s">
        <v>32</v>
      </c>
      <c r="F10">
        <v>0.57682922814652904</v>
      </c>
      <c r="G10">
        <v>5021.3251066221501</v>
      </c>
    </row>
    <row r="11" spans="1:7" x14ac:dyDescent="0.3">
      <c r="A11" t="s">
        <v>41</v>
      </c>
      <c r="B11">
        <v>248153.10103290799</v>
      </c>
      <c r="C11">
        <v>247596.097315616</v>
      </c>
      <c r="D11">
        <v>1.0022496465951201</v>
      </c>
      <c r="E11" t="s">
        <v>32</v>
      </c>
      <c r="F11">
        <v>0.42256229893873398</v>
      </c>
      <c r="G11">
        <v>99674.874980706794</v>
      </c>
    </row>
    <row r="12" spans="1:7" x14ac:dyDescent="0.3">
      <c r="A12" t="s">
        <v>42</v>
      </c>
      <c r="B12">
        <v>2092.3967775796</v>
      </c>
      <c r="C12">
        <v>2090.8174739144001</v>
      </c>
      <c r="D12">
        <v>1.0007553522413599</v>
      </c>
      <c r="E12" t="s">
        <v>32</v>
      </c>
      <c r="F12">
        <v>0.551709516323585</v>
      </c>
      <c r="G12">
        <v>1152.54061771138</v>
      </c>
    </row>
    <row r="13" spans="1:7" x14ac:dyDescent="0.3">
      <c r="A13" t="s">
        <v>43</v>
      </c>
      <c r="B13">
        <v>2605.7366314369201</v>
      </c>
      <c r="C13">
        <v>2603.7757089432098</v>
      </c>
      <c r="D13">
        <v>1.0007531072998901</v>
      </c>
      <c r="E13" t="s">
        <v>32</v>
      </c>
      <c r="F13">
        <v>0.41839131861030299</v>
      </c>
      <c r="G13">
        <v>1076.7613365187501</v>
      </c>
    </row>
    <row r="14" spans="1:7" x14ac:dyDescent="0.3">
      <c r="A14" t="s">
        <v>44</v>
      </c>
      <c r="B14">
        <v>0</v>
      </c>
      <c r="C14">
        <v>0</v>
      </c>
      <c r="E14" t="s">
        <v>32</v>
      </c>
      <c r="G14">
        <v>0</v>
      </c>
    </row>
    <row r="15" spans="1:7" x14ac:dyDescent="0.3">
      <c r="A15" t="s">
        <v>45</v>
      </c>
      <c r="B15">
        <v>38224.740480505003</v>
      </c>
      <c r="C15">
        <v>38200.930630784998</v>
      </c>
      <c r="D15">
        <v>1.00062327931091</v>
      </c>
      <c r="E15" t="s">
        <v>32</v>
      </c>
      <c r="F15">
        <v>0.35508607095217498</v>
      </c>
      <c r="G15">
        <v>11846.651348154601</v>
      </c>
    </row>
    <row r="16" spans="1:7" x14ac:dyDescent="0.3">
      <c r="A16" t="s">
        <v>46</v>
      </c>
      <c r="B16">
        <v>132662.77134521899</v>
      </c>
      <c r="C16">
        <v>132411.34159525999</v>
      </c>
      <c r="D16">
        <v>1.0018988535795299</v>
      </c>
      <c r="E16" t="s">
        <v>32</v>
      </c>
      <c r="F16">
        <v>0.393297440335519</v>
      </c>
      <c r="G16">
        <v>46917.1631691066</v>
      </c>
    </row>
    <row r="17" spans="1:7" x14ac:dyDescent="0.3">
      <c r="A17" t="s">
        <v>47</v>
      </c>
      <c r="B17">
        <v>70052.447540331399</v>
      </c>
      <c r="C17">
        <v>69982.623292374803</v>
      </c>
      <c r="D17">
        <v>1.00099773693342</v>
      </c>
      <c r="E17" t="s">
        <v>32</v>
      </c>
      <c r="F17">
        <v>0.41620149771710702</v>
      </c>
      <c r="G17">
        <v>23478.323557915999</v>
      </c>
    </row>
    <row r="18" spans="1:7" x14ac:dyDescent="0.3">
      <c r="A18" t="s">
        <v>48</v>
      </c>
      <c r="B18">
        <v>0</v>
      </c>
      <c r="C18">
        <v>0</v>
      </c>
      <c r="E18" t="s">
        <v>32</v>
      </c>
      <c r="G18">
        <v>0</v>
      </c>
    </row>
    <row r="19" spans="1:7" x14ac:dyDescent="0.3">
      <c r="A19" t="s">
        <v>49</v>
      </c>
      <c r="B19">
        <v>20083.4157139001</v>
      </c>
      <c r="C19">
        <v>20040.044487347001</v>
      </c>
      <c r="D19">
        <v>1.0021642280575001</v>
      </c>
      <c r="E19" t="s">
        <v>32</v>
      </c>
      <c r="F19">
        <v>0.53981176272157605</v>
      </c>
      <c r="G19">
        <v>10384.730372968699</v>
      </c>
    </row>
    <row r="20" spans="1:7" x14ac:dyDescent="0.3">
      <c r="A20" t="s">
        <v>50</v>
      </c>
      <c r="B20">
        <v>47889.839729557702</v>
      </c>
      <c r="C20">
        <v>47775.2614036624</v>
      </c>
      <c r="D20">
        <v>1.00239827732028</v>
      </c>
      <c r="E20" t="s">
        <v>32</v>
      </c>
      <c r="F20">
        <v>0.45699436074222</v>
      </c>
      <c r="G20">
        <v>18344.1829077371</v>
      </c>
    </row>
    <row r="21" spans="1:7" x14ac:dyDescent="0.3">
      <c r="A21" t="s">
        <v>51</v>
      </c>
      <c r="B21">
        <v>0</v>
      </c>
      <c r="C21">
        <v>0</v>
      </c>
      <c r="E21" t="s">
        <v>32</v>
      </c>
      <c r="G21">
        <v>0</v>
      </c>
    </row>
    <row r="22" spans="1:7" x14ac:dyDescent="0.3">
      <c r="A22" t="s">
        <v>52</v>
      </c>
      <c r="B22">
        <v>0</v>
      </c>
      <c r="C22">
        <v>0</v>
      </c>
      <c r="E22" t="s">
        <v>32</v>
      </c>
      <c r="G22">
        <v>0</v>
      </c>
    </row>
    <row r="23" spans="1:7" x14ac:dyDescent="0.3">
      <c r="A23" t="s">
        <v>53</v>
      </c>
      <c r="B23">
        <v>1753.729612115</v>
      </c>
      <c r="C23">
        <v>1752.2130913979599</v>
      </c>
      <c r="D23">
        <v>1.00086548874933</v>
      </c>
      <c r="E23" t="s">
        <v>32</v>
      </c>
      <c r="F23">
        <v>0.33249713962400901</v>
      </c>
      <c r="G23">
        <v>406.11436917096802</v>
      </c>
    </row>
    <row r="24" spans="1:7" x14ac:dyDescent="0.3">
      <c r="A24" t="s">
        <v>54</v>
      </c>
      <c r="B24">
        <v>96778.2131786752</v>
      </c>
      <c r="C24">
        <v>96711.217090213802</v>
      </c>
      <c r="D24">
        <v>1.0006927437217401</v>
      </c>
      <c r="E24" t="s">
        <v>32</v>
      </c>
      <c r="F24">
        <v>0.45084743112507802</v>
      </c>
      <c r="G24">
        <v>41331.048756880402</v>
      </c>
    </row>
    <row r="25" spans="1:7" x14ac:dyDescent="0.3">
      <c r="A25" t="s">
        <v>55</v>
      </c>
      <c r="B25">
        <v>6960.8553943537599</v>
      </c>
      <c r="C25">
        <v>6957.2282990048498</v>
      </c>
      <c r="D25">
        <v>1.0005213420047501</v>
      </c>
      <c r="E25" t="s">
        <v>32</v>
      </c>
      <c r="F25">
        <v>0.39509793444802599</v>
      </c>
      <c r="G25">
        <v>2152.8661503261901</v>
      </c>
    </row>
    <row r="26" spans="1:7" x14ac:dyDescent="0.3">
      <c r="A26" t="s">
        <v>56</v>
      </c>
      <c r="B26">
        <v>6775.1120682357696</v>
      </c>
      <c r="C26">
        <v>6773.5463478535603</v>
      </c>
      <c r="D26">
        <v>1.0002311522357401</v>
      </c>
      <c r="E26" t="s">
        <v>32</v>
      </c>
      <c r="F26">
        <v>0.34650308378082401</v>
      </c>
      <c r="G26">
        <v>2182.8902468373099</v>
      </c>
    </row>
    <row r="27" spans="1:7" x14ac:dyDescent="0.3">
      <c r="A27" t="s">
        <v>57</v>
      </c>
      <c r="B27">
        <v>32420.197970452002</v>
      </c>
      <c r="C27">
        <v>32396.183175042399</v>
      </c>
      <c r="D27">
        <v>1.00074128471492</v>
      </c>
      <c r="E27" t="s">
        <v>32</v>
      </c>
      <c r="F27">
        <v>0.29736759743083702</v>
      </c>
      <c r="G27">
        <v>9535.0290469344309</v>
      </c>
    </row>
    <row r="28" spans="1:7" x14ac:dyDescent="0.3">
      <c r="A28" t="s">
        <v>58</v>
      </c>
      <c r="B28">
        <v>0</v>
      </c>
      <c r="C28">
        <v>0</v>
      </c>
      <c r="E28" t="s">
        <v>32</v>
      </c>
      <c r="G28">
        <v>0</v>
      </c>
    </row>
    <row r="29" spans="1:7" x14ac:dyDescent="0.3">
      <c r="A29" t="s">
        <v>59</v>
      </c>
      <c r="B29">
        <v>133596.76810119901</v>
      </c>
      <c r="C29">
        <v>133526.17105836899</v>
      </c>
      <c r="D29">
        <v>1.0005287131524101</v>
      </c>
      <c r="E29" t="s">
        <v>32</v>
      </c>
      <c r="F29">
        <v>0.45795255456568101</v>
      </c>
      <c r="G29">
        <v>59520.303775903303</v>
      </c>
    </row>
    <row r="30" spans="1:7" x14ac:dyDescent="0.3">
      <c r="A30" t="s">
        <v>60</v>
      </c>
      <c r="B30">
        <v>38817.9824338693</v>
      </c>
      <c r="C30">
        <v>38738.624904552998</v>
      </c>
      <c r="D30">
        <v>1.00204853759037</v>
      </c>
      <c r="E30" t="s">
        <v>32</v>
      </c>
      <c r="F30">
        <v>0.51954899277086997</v>
      </c>
      <c r="G30">
        <v>19833.433672990399</v>
      </c>
    </row>
    <row r="31" spans="1:7" x14ac:dyDescent="0.3">
      <c r="A31" t="s">
        <v>61</v>
      </c>
      <c r="B31">
        <v>209392.061684719</v>
      </c>
      <c r="C31">
        <v>209231.534413602</v>
      </c>
      <c r="D31">
        <v>1.0007672231222999</v>
      </c>
      <c r="E31" t="s">
        <v>32</v>
      </c>
      <c r="F31">
        <v>0.44242279589757499</v>
      </c>
      <c r="G31">
        <v>88875.258726148502</v>
      </c>
    </row>
    <row r="32" spans="1:7" x14ac:dyDescent="0.3">
      <c r="A32" t="s">
        <v>62</v>
      </c>
      <c r="B32">
        <v>83922.927813557893</v>
      </c>
      <c r="C32">
        <v>83730.035416756902</v>
      </c>
      <c r="D32">
        <v>1.0023037419707299</v>
      </c>
      <c r="E32" t="s">
        <v>32</v>
      </c>
      <c r="F32">
        <v>0.39640089309919402</v>
      </c>
      <c r="G32">
        <v>29515.4004532115</v>
      </c>
    </row>
    <row r="33" spans="1:7" x14ac:dyDescent="0.3">
      <c r="A33" t="s">
        <v>63</v>
      </c>
      <c r="B33">
        <v>0</v>
      </c>
      <c r="C33">
        <v>0</v>
      </c>
      <c r="E33" t="s">
        <v>32</v>
      </c>
      <c r="G33">
        <v>0</v>
      </c>
    </row>
    <row r="34" spans="1:7" x14ac:dyDescent="0.3">
      <c r="A34" t="s">
        <v>64</v>
      </c>
      <c r="B34">
        <v>0</v>
      </c>
      <c r="C34">
        <v>0</v>
      </c>
      <c r="E34" t="s">
        <v>32</v>
      </c>
      <c r="G34">
        <v>0</v>
      </c>
    </row>
    <row r="35" spans="1:7" x14ac:dyDescent="0.3">
      <c r="A35" t="s">
        <v>65</v>
      </c>
      <c r="B35">
        <v>0</v>
      </c>
      <c r="C35">
        <v>0</v>
      </c>
      <c r="E35" t="s">
        <v>32</v>
      </c>
      <c r="G35">
        <v>0</v>
      </c>
    </row>
    <row r="36" spans="1:7" x14ac:dyDescent="0.3">
      <c r="A36" t="s">
        <v>66</v>
      </c>
      <c r="B36">
        <v>17269.794174442901</v>
      </c>
      <c r="C36">
        <v>17242.289879370201</v>
      </c>
      <c r="D36">
        <v>1.00159516486876</v>
      </c>
      <c r="E36" t="s">
        <v>32</v>
      </c>
      <c r="F36">
        <v>0.37293724459427802</v>
      </c>
      <c r="G36">
        <v>4523.5941462485598</v>
      </c>
    </row>
    <row r="37" spans="1:7" x14ac:dyDescent="0.3">
      <c r="A37" t="s">
        <v>67</v>
      </c>
      <c r="B37">
        <v>15457.1691619293</v>
      </c>
      <c r="C37">
        <v>15429.2089488282</v>
      </c>
      <c r="D37">
        <v>1.0018121611544599</v>
      </c>
      <c r="E37" t="s">
        <v>32</v>
      </c>
      <c r="F37">
        <v>0.34873931881097803</v>
      </c>
      <c r="G37">
        <v>4137.3916646735497</v>
      </c>
    </row>
    <row r="38" spans="1:7" x14ac:dyDescent="0.3">
      <c r="A38" t="s">
        <v>68</v>
      </c>
      <c r="B38">
        <v>41815.747383867099</v>
      </c>
      <c r="C38">
        <v>41759.463636140397</v>
      </c>
      <c r="D38">
        <v>1.00134780820503</v>
      </c>
      <c r="E38" t="s">
        <v>32</v>
      </c>
      <c r="F38">
        <v>0.489009547769168</v>
      </c>
      <c r="G38">
        <v>18879.0763752288</v>
      </c>
    </row>
    <row r="39" spans="1:7" x14ac:dyDescent="0.3">
      <c r="A39" t="s">
        <v>69</v>
      </c>
      <c r="B39">
        <v>0</v>
      </c>
      <c r="C39">
        <v>0</v>
      </c>
      <c r="E39" t="s">
        <v>32</v>
      </c>
      <c r="G39">
        <v>0</v>
      </c>
    </row>
    <row r="40" spans="1:7" x14ac:dyDescent="0.3">
      <c r="A40" t="s">
        <v>70</v>
      </c>
      <c r="B40">
        <v>0</v>
      </c>
      <c r="C40">
        <v>0</v>
      </c>
      <c r="E40" t="s">
        <v>32</v>
      </c>
      <c r="G40">
        <v>0</v>
      </c>
    </row>
    <row r="41" spans="1:7" x14ac:dyDescent="0.3">
      <c r="A41" t="s">
        <v>71</v>
      </c>
      <c r="B41">
        <v>0</v>
      </c>
      <c r="C41">
        <v>0</v>
      </c>
      <c r="E41" t="s">
        <v>32</v>
      </c>
      <c r="G41">
        <v>0</v>
      </c>
    </row>
    <row r="42" spans="1:7" x14ac:dyDescent="0.3">
      <c r="A42" t="s">
        <v>72</v>
      </c>
      <c r="B42">
        <v>93718.956613782997</v>
      </c>
      <c r="C42">
        <v>93676.500348225498</v>
      </c>
      <c r="D42">
        <v>1.0004532221571001</v>
      </c>
      <c r="E42" t="s">
        <v>32</v>
      </c>
      <c r="F42">
        <v>0.44425031633409601</v>
      </c>
      <c r="G42">
        <v>33448.615351798398</v>
      </c>
    </row>
    <row r="43" spans="1:7" x14ac:dyDescent="0.3">
      <c r="A43" t="s">
        <v>73</v>
      </c>
      <c r="B43">
        <v>61444.091809721198</v>
      </c>
      <c r="C43">
        <v>61348.5747509301</v>
      </c>
      <c r="D43">
        <v>1.0015569564440401</v>
      </c>
      <c r="E43" t="s">
        <v>32</v>
      </c>
      <c r="F43">
        <v>0.39403471769009002</v>
      </c>
      <c r="G43">
        <v>23992.0525937659</v>
      </c>
    </row>
    <row r="44" spans="1:7" x14ac:dyDescent="0.3">
      <c r="A44" t="s">
        <v>74</v>
      </c>
      <c r="B44">
        <v>42317.253772047901</v>
      </c>
      <c r="C44">
        <v>42280.4138819492</v>
      </c>
      <c r="D44">
        <v>1.0008713228352399</v>
      </c>
      <c r="E44" t="s">
        <v>32</v>
      </c>
      <c r="F44">
        <v>0.45262760863565998</v>
      </c>
      <c r="G44">
        <v>19097.8993920299</v>
      </c>
    </row>
    <row r="45" spans="1:7" x14ac:dyDescent="0.3">
      <c r="A45" t="s">
        <v>75</v>
      </c>
      <c r="B45">
        <v>19833.997683581299</v>
      </c>
      <c r="C45">
        <v>19810.734670245602</v>
      </c>
      <c r="D45">
        <v>1.0011742630307701</v>
      </c>
      <c r="E45" t="s">
        <v>32</v>
      </c>
      <c r="F45">
        <v>0.43864544684596102</v>
      </c>
      <c r="G45">
        <v>8598.4193130869298</v>
      </c>
    </row>
    <row r="46" spans="1:7" x14ac:dyDescent="0.3">
      <c r="A46" t="s">
        <v>76</v>
      </c>
      <c r="B46">
        <v>28798.566589872298</v>
      </c>
      <c r="C46">
        <v>28699.8715118726</v>
      </c>
      <c r="D46">
        <v>1.0034388682875699</v>
      </c>
      <c r="E46" t="s">
        <v>32</v>
      </c>
      <c r="F46">
        <v>0.49068409164622501</v>
      </c>
      <c r="G46">
        <v>13836.846293062999</v>
      </c>
    </row>
    <row r="47" spans="1:7" x14ac:dyDescent="0.3">
      <c r="A47" t="s">
        <v>77</v>
      </c>
      <c r="B47">
        <v>61247.926297669197</v>
      </c>
      <c r="C47">
        <v>61058.570349592701</v>
      </c>
      <c r="D47">
        <v>1.0031012181744901</v>
      </c>
      <c r="E47" t="s">
        <v>32</v>
      </c>
      <c r="F47">
        <v>0.44153593680436298</v>
      </c>
      <c r="G47">
        <v>26727.460378744599</v>
      </c>
    </row>
    <row r="48" spans="1:7" x14ac:dyDescent="0.3">
      <c r="A48" t="s">
        <v>78</v>
      </c>
      <c r="B48">
        <v>15731.985208590801</v>
      </c>
      <c r="C48">
        <v>15592.538892546199</v>
      </c>
      <c r="D48">
        <v>1.0089431437051699</v>
      </c>
      <c r="E48" t="s">
        <v>32</v>
      </c>
      <c r="F48">
        <v>0.41559318878748702</v>
      </c>
      <c r="G48">
        <v>6256.9723452356402</v>
      </c>
    </row>
    <row r="49" spans="1:7" x14ac:dyDescent="0.3">
      <c r="A49" t="s">
        <v>79</v>
      </c>
      <c r="B49">
        <v>34064.663911050498</v>
      </c>
      <c r="C49">
        <v>33814.818571151001</v>
      </c>
      <c r="D49">
        <v>1.00738863464175</v>
      </c>
      <c r="E49" t="s">
        <v>32</v>
      </c>
      <c r="F49">
        <v>0.51075040349506196</v>
      </c>
      <c r="G49">
        <v>17212.414440848301</v>
      </c>
    </row>
    <row r="50" spans="1:7" x14ac:dyDescent="0.3">
      <c r="A50" t="s">
        <v>80</v>
      </c>
      <c r="B50">
        <v>1320.5044069656501</v>
      </c>
      <c r="C50">
        <v>1301.21535130387</v>
      </c>
      <c r="D50">
        <v>1.0148238764955</v>
      </c>
      <c r="E50" t="s">
        <v>32</v>
      </c>
      <c r="F50">
        <v>0.63165376340851498</v>
      </c>
      <c r="G50">
        <v>813.51978833352496</v>
      </c>
    </row>
    <row r="51" spans="1:7" x14ac:dyDescent="0.3">
      <c r="A51" t="s">
        <v>81</v>
      </c>
      <c r="B51">
        <v>7116.8466533474102</v>
      </c>
      <c r="C51">
        <v>6993.3394353902604</v>
      </c>
      <c r="D51">
        <v>1.0176606925916001</v>
      </c>
      <c r="E51" t="s">
        <v>32</v>
      </c>
      <c r="F51">
        <v>0.455260330473576</v>
      </c>
      <c r="G51">
        <v>3101.96330571007</v>
      </c>
    </row>
    <row r="52" spans="1:7" x14ac:dyDescent="0.3">
      <c r="A52" t="s">
        <v>82</v>
      </c>
      <c r="B52">
        <v>10534.372123768901</v>
      </c>
      <c r="C52">
        <v>10497.344063749701</v>
      </c>
      <c r="D52">
        <v>1.0035273741428601</v>
      </c>
      <c r="E52" t="s">
        <v>32</v>
      </c>
      <c r="F52">
        <v>0.43538612166912199</v>
      </c>
      <c r="G52">
        <v>4513.7909842681302</v>
      </c>
    </row>
    <row r="53" spans="1:7" x14ac:dyDescent="0.3">
      <c r="A53" t="s">
        <v>83</v>
      </c>
      <c r="B53">
        <v>25133.539712847702</v>
      </c>
      <c r="C53">
        <v>25052.554350811399</v>
      </c>
      <c r="D53">
        <v>1.0032326189538301</v>
      </c>
      <c r="E53" t="s">
        <v>32</v>
      </c>
      <c r="F53">
        <v>0.42038529303625699</v>
      </c>
      <c r="G53">
        <v>9722.9890894644504</v>
      </c>
    </row>
    <row r="54" spans="1:7" x14ac:dyDescent="0.3">
      <c r="A54" t="s">
        <v>84</v>
      </c>
      <c r="B54">
        <v>29612.192292273001</v>
      </c>
      <c r="C54">
        <v>29563.8363201459</v>
      </c>
      <c r="D54">
        <v>1.0016356460509199</v>
      </c>
      <c r="E54" t="s">
        <v>32</v>
      </c>
      <c r="F54">
        <v>0.44412132525916498</v>
      </c>
      <c r="G54">
        <v>13111.537711676199</v>
      </c>
    </row>
    <row r="55" spans="1:7" x14ac:dyDescent="0.3">
      <c r="A55" t="s">
        <v>85</v>
      </c>
      <c r="B55">
        <v>74470.336226009094</v>
      </c>
      <c r="C55">
        <v>74315.3415392272</v>
      </c>
      <c r="D55">
        <v>1.0020856351269001</v>
      </c>
      <c r="E55" t="s">
        <v>32</v>
      </c>
      <c r="F55">
        <v>0.49289561580790903</v>
      </c>
      <c r="G55">
        <v>36265.728673159902</v>
      </c>
    </row>
    <row r="56" spans="1:7" x14ac:dyDescent="0.3">
      <c r="A56" t="s">
        <v>86</v>
      </c>
      <c r="B56">
        <v>77419.969221615596</v>
      </c>
      <c r="C56">
        <v>77262.290234415297</v>
      </c>
      <c r="D56">
        <v>1.0020408272486001</v>
      </c>
      <c r="E56" t="s">
        <v>32</v>
      </c>
      <c r="F56">
        <v>0.44079101372580398</v>
      </c>
      <c r="G56">
        <v>30509.485252024399</v>
      </c>
    </row>
    <row r="57" spans="1:7" x14ac:dyDescent="0.3">
      <c r="A57" t="s">
        <v>87</v>
      </c>
      <c r="B57">
        <v>1581.6309434026</v>
      </c>
      <c r="C57">
        <v>1575.0105471869599</v>
      </c>
      <c r="D57">
        <v>1.00420339802007</v>
      </c>
      <c r="E57" t="s">
        <v>32</v>
      </c>
      <c r="F57">
        <v>0.38201351729608501</v>
      </c>
      <c r="G57">
        <v>520.39327286720504</v>
      </c>
    </row>
    <row r="58" spans="1:7" x14ac:dyDescent="0.3">
      <c r="A58" t="s">
        <v>88</v>
      </c>
      <c r="B58">
        <v>0</v>
      </c>
      <c r="C58">
        <v>0</v>
      </c>
      <c r="E58" t="s">
        <v>32</v>
      </c>
      <c r="G58">
        <v>0</v>
      </c>
    </row>
    <row r="59" spans="1:7" x14ac:dyDescent="0.3">
      <c r="A59" t="s">
        <v>89</v>
      </c>
      <c r="B59">
        <v>14010.6479444006</v>
      </c>
      <c r="C59">
        <v>13919.282876031801</v>
      </c>
      <c r="D59">
        <v>1.0065639206547099</v>
      </c>
      <c r="E59" t="s">
        <v>32</v>
      </c>
      <c r="F59">
        <v>0.35847918659181099</v>
      </c>
      <c r="G59">
        <v>3657.3143320026302</v>
      </c>
    </row>
    <row r="60" spans="1:7" x14ac:dyDescent="0.3">
      <c r="A60" t="s">
        <v>90</v>
      </c>
      <c r="B60">
        <v>52073.993484005499</v>
      </c>
      <c r="C60">
        <v>51964.852191685903</v>
      </c>
      <c r="D60">
        <v>1.0021002906333101</v>
      </c>
      <c r="E60" t="s">
        <v>32</v>
      </c>
      <c r="F60">
        <v>0.41259099347851802</v>
      </c>
      <c r="G60">
        <v>17781.1173134169</v>
      </c>
    </row>
    <row r="61" spans="1:7" x14ac:dyDescent="0.3">
      <c r="A61" t="s">
        <v>91</v>
      </c>
      <c r="B61">
        <v>45619.395668030098</v>
      </c>
      <c r="C61">
        <v>45550.8081140055</v>
      </c>
      <c r="D61">
        <v>1.00150573737029</v>
      </c>
      <c r="E61" t="s">
        <v>32</v>
      </c>
      <c r="F61">
        <v>0.33986064614851202</v>
      </c>
      <c r="G61">
        <v>13539.582884544099</v>
      </c>
    </row>
    <row r="62" spans="1:7" x14ac:dyDescent="0.3">
      <c r="A62" t="s">
        <v>92</v>
      </c>
      <c r="B62">
        <v>125553.262842254</v>
      </c>
      <c r="C62">
        <v>125200.677107952</v>
      </c>
      <c r="D62">
        <v>1.0028161647560201</v>
      </c>
      <c r="E62" t="s">
        <v>32</v>
      </c>
      <c r="F62">
        <v>0.42701722103789203</v>
      </c>
      <c r="G62">
        <v>45123.949256775602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BC7B-0166-4510-983E-633341DA3EA5}">
  <dimension ref="A1:G62"/>
  <sheetViews>
    <sheetView workbookViewId="0">
      <selection activeCell="E5" sqref="E5"/>
    </sheetView>
  </sheetViews>
  <sheetFormatPr defaultRowHeight="14.4" x14ac:dyDescent="0.3"/>
  <sheetData>
    <row r="1" spans="1:7" x14ac:dyDescent="0.3">
      <c r="A1" t="s">
        <v>26</v>
      </c>
      <c r="B1" t="s">
        <v>24</v>
      </c>
      <c r="C1" t="s">
        <v>25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 t="s">
        <v>31</v>
      </c>
      <c r="B2">
        <v>74435.321732549899</v>
      </c>
      <c r="C2">
        <v>74435.321732549899</v>
      </c>
      <c r="D2">
        <v>1</v>
      </c>
      <c r="E2" t="s">
        <v>32</v>
      </c>
      <c r="F2">
        <v>0.33805141242606801</v>
      </c>
      <c r="G2">
        <v>20870.896601874701</v>
      </c>
    </row>
    <row r="3" spans="1:7" x14ac:dyDescent="0.3">
      <c r="A3" t="s">
        <v>33</v>
      </c>
      <c r="B3">
        <v>19671.0047955542</v>
      </c>
      <c r="C3">
        <v>19671.0047955542</v>
      </c>
      <c r="D3">
        <v>1</v>
      </c>
      <c r="E3" t="s">
        <v>32</v>
      </c>
      <c r="F3">
        <v>0.50647861792498095</v>
      </c>
      <c r="G3">
        <v>9841.0502070718703</v>
      </c>
    </row>
    <row r="4" spans="1:7" x14ac:dyDescent="0.3">
      <c r="A4" t="s">
        <v>34</v>
      </c>
      <c r="B4">
        <v>78036.310206294802</v>
      </c>
      <c r="C4">
        <v>78036.310206294802</v>
      </c>
      <c r="D4">
        <v>1</v>
      </c>
      <c r="E4" t="s">
        <v>32</v>
      </c>
      <c r="F4">
        <v>0.47830764185413599</v>
      </c>
      <c r="G4">
        <v>35637.879720718302</v>
      </c>
    </row>
    <row r="5" spans="1:7" x14ac:dyDescent="0.3">
      <c r="A5" t="s">
        <v>35</v>
      </c>
      <c r="B5">
        <v>68480.258589630903</v>
      </c>
      <c r="C5">
        <v>68480.258589630903</v>
      </c>
      <c r="D5">
        <v>1</v>
      </c>
      <c r="E5" t="s">
        <v>32</v>
      </c>
      <c r="F5">
        <v>0.36530837956288198</v>
      </c>
      <c r="G5">
        <v>23607.7833190602</v>
      </c>
    </row>
    <row r="6" spans="1:7" x14ac:dyDescent="0.3">
      <c r="A6" t="s">
        <v>36</v>
      </c>
      <c r="B6">
        <v>49568.239184244703</v>
      </c>
      <c r="C6">
        <v>49568.239184244703</v>
      </c>
      <c r="D6">
        <v>1</v>
      </c>
      <c r="E6" t="s">
        <v>32</v>
      </c>
      <c r="F6">
        <v>0.35975702360205303</v>
      </c>
      <c r="G6">
        <v>15654.1303128123</v>
      </c>
    </row>
    <row r="7" spans="1:7" x14ac:dyDescent="0.3">
      <c r="A7" t="s">
        <v>37</v>
      </c>
      <c r="B7">
        <v>101618.50361023399</v>
      </c>
      <c r="C7">
        <v>101618.38531481101</v>
      </c>
      <c r="D7">
        <v>1.00000116411437</v>
      </c>
      <c r="E7" t="s">
        <v>32</v>
      </c>
      <c r="F7">
        <v>0.41502430062918699</v>
      </c>
      <c r="G7">
        <v>36399.320507791897</v>
      </c>
    </row>
    <row r="8" spans="1:7" x14ac:dyDescent="0.3">
      <c r="A8" t="s">
        <v>38</v>
      </c>
      <c r="B8">
        <v>184844.81858214</v>
      </c>
      <c r="C8">
        <v>184840.89780867999</v>
      </c>
      <c r="D8">
        <v>1.00002121161228</v>
      </c>
      <c r="E8" t="s">
        <v>32</v>
      </c>
      <c r="F8">
        <v>0.36382396432713399</v>
      </c>
      <c r="G8">
        <v>57628.444575130903</v>
      </c>
    </row>
    <row r="9" spans="1:7" x14ac:dyDescent="0.3">
      <c r="A9" t="s">
        <v>39</v>
      </c>
      <c r="B9">
        <v>8900.7819638025994</v>
      </c>
      <c r="C9">
        <v>8900.7819638025994</v>
      </c>
      <c r="D9">
        <v>1</v>
      </c>
      <c r="E9" t="s">
        <v>32</v>
      </c>
      <c r="F9">
        <v>0.51825288463882102</v>
      </c>
      <c r="G9">
        <v>4577.2935579424202</v>
      </c>
    </row>
    <row r="10" spans="1:7" x14ac:dyDescent="0.3">
      <c r="A10" t="s">
        <v>40</v>
      </c>
      <c r="B10">
        <v>8738.5881594226594</v>
      </c>
      <c r="C10">
        <v>8738.5881594226594</v>
      </c>
      <c r="D10">
        <v>1</v>
      </c>
      <c r="E10" t="s">
        <v>32</v>
      </c>
      <c r="F10">
        <v>0.577969279970176</v>
      </c>
      <c r="G10">
        <v>4985.2044873146497</v>
      </c>
    </row>
    <row r="11" spans="1:7" x14ac:dyDescent="0.3">
      <c r="A11" t="s">
        <v>41</v>
      </c>
      <c r="B11">
        <v>246556.13184465899</v>
      </c>
      <c r="C11">
        <v>246477.08315900099</v>
      </c>
      <c r="D11">
        <v>1.0003207141396</v>
      </c>
      <c r="E11" t="s">
        <v>32</v>
      </c>
      <c r="F11">
        <v>0.42216559953007998</v>
      </c>
      <c r="G11">
        <v>99161.396640576204</v>
      </c>
    </row>
    <row r="12" spans="1:7" x14ac:dyDescent="0.3">
      <c r="A12" t="s">
        <v>42</v>
      </c>
      <c r="B12">
        <v>2082.5924329816198</v>
      </c>
      <c r="C12">
        <v>2082.5924329816198</v>
      </c>
      <c r="D12">
        <v>1</v>
      </c>
      <c r="E12" t="s">
        <v>32</v>
      </c>
      <c r="F12">
        <v>0.55224927416736602</v>
      </c>
      <c r="G12">
        <v>1148.9000639656999</v>
      </c>
    </row>
    <row r="13" spans="1:7" x14ac:dyDescent="0.3">
      <c r="A13" t="s">
        <v>43</v>
      </c>
      <c r="B13">
        <v>2590.8747776117002</v>
      </c>
      <c r="C13">
        <v>2590.8747776117002</v>
      </c>
      <c r="D13">
        <v>1</v>
      </c>
      <c r="E13" t="s">
        <v>32</v>
      </c>
      <c r="F13">
        <v>0.41907242725688698</v>
      </c>
      <c r="G13">
        <v>1071.8394349825901</v>
      </c>
    </row>
    <row r="14" spans="1:7" x14ac:dyDescent="0.3">
      <c r="A14" t="s">
        <v>44</v>
      </c>
      <c r="B14">
        <v>0</v>
      </c>
      <c r="C14">
        <v>0</v>
      </c>
      <c r="E14" t="s">
        <v>32</v>
      </c>
      <c r="G14">
        <v>0</v>
      </c>
    </row>
    <row r="15" spans="1:7" x14ac:dyDescent="0.3">
      <c r="A15" t="s">
        <v>45</v>
      </c>
      <c r="B15">
        <v>38195.3680421268</v>
      </c>
      <c r="C15">
        <v>38195.3680421268</v>
      </c>
      <c r="D15">
        <v>1</v>
      </c>
      <c r="E15" t="s">
        <v>32</v>
      </c>
      <c r="F15">
        <v>0.35477936662473403</v>
      </c>
      <c r="G15">
        <v>11820.540942182801</v>
      </c>
    </row>
    <row r="16" spans="1:7" x14ac:dyDescent="0.3">
      <c r="A16" t="s">
        <v>46</v>
      </c>
      <c r="B16">
        <v>132192.17545420799</v>
      </c>
      <c r="C16">
        <v>132191.07352964499</v>
      </c>
      <c r="D16">
        <v>1.00000833584699</v>
      </c>
      <c r="E16" t="s">
        <v>32</v>
      </c>
      <c r="F16">
        <v>0.393003062951789</v>
      </c>
      <c r="G16">
        <v>46748.822475970999</v>
      </c>
    </row>
    <row r="17" spans="1:7" x14ac:dyDescent="0.3">
      <c r="A17" t="s">
        <v>47</v>
      </c>
      <c r="B17">
        <v>69899.259655571994</v>
      </c>
      <c r="C17">
        <v>69892.338538815704</v>
      </c>
      <c r="D17">
        <v>1.00009902539964</v>
      </c>
      <c r="E17" t="s">
        <v>32</v>
      </c>
      <c r="F17">
        <v>0.416049610676619</v>
      </c>
      <c r="G17">
        <v>23417.6437416058</v>
      </c>
    </row>
    <row r="18" spans="1:7" x14ac:dyDescent="0.3">
      <c r="A18" t="s">
        <v>48</v>
      </c>
      <c r="B18">
        <v>0</v>
      </c>
      <c r="C18">
        <v>0</v>
      </c>
      <c r="E18" t="s">
        <v>32</v>
      </c>
      <c r="G18">
        <v>0</v>
      </c>
    </row>
    <row r="19" spans="1:7" x14ac:dyDescent="0.3">
      <c r="A19" t="s">
        <v>49</v>
      </c>
      <c r="B19">
        <v>20076.758380368599</v>
      </c>
      <c r="C19">
        <v>20044.6262297137</v>
      </c>
      <c r="D19">
        <v>1.0016030306719901</v>
      </c>
      <c r="E19" t="s">
        <v>32</v>
      </c>
      <c r="F19">
        <v>0.53938680093727598</v>
      </c>
      <c r="G19">
        <v>10372.486964561</v>
      </c>
    </row>
    <row r="20" spans="1:7" x14ac:dyDescent="0.3">
      <c r="A20" t="s">
        <v>50</v>
      </c>
      <c r="B20">
        <v>47703.937833855198</v>
      </c>
      <c r="C20">
        <v>47699.780172526102</v>
      </c>
      <c r="D20">
        <v>1.00008716311299</v>
      </c>
      <c r="E20" t="s">
        <v>32</v>
      </c>
      <c r="F20">
        <v>0.45624138814714299</v>
      </c>
      <c r="G20">
        <v>18282.560424473701</v>
      </c>
    </row>
    <row r="21" spans="1:7" x14ac:dyDescent="0.3">
      <c r="A21" t="s">
        <v>51</v>
      </c>
      <c r="B21">
        <v>0</v>
      </c>
      <c r="C21">
        <v>0</v>
      </c>
      <c r="E21" t="s">
        <v>32</v>
      </c>
      <c r="G21">
        <v>0</v>
      </c>
    </row>
    <row r="22" spans="1:7" x14ac:dyDescent="0.3">
      <c r="A22" t="s">
        <v>52</v>
      </c>
      <c r="B22">
        <v>0</v>
      </c>
      <c r="C22">
        <v>0</v>
      </c>
      <c r="E22" t="s">
        <v>32</v>
      </c>
      <c r="G22">
        <v>0</v>
      </c>
    </row>
    <row r="23" spans="1:7" x14ac:dyDescent="0.3">
      <c r="A23" t="s">
        <v>53</v>
      </c>
      <c r="B23">
        <v>1747.5721460847201</v>
      </c>
      <c r="C23">
        <v>1747.45734852942</v>
      </c>
      <c r="D23">
        <v>1.0000656940527799</v>
      </c>
      <c r="E23" t="s">
        <v>32</v>
      </c>
      <c r="F23">
        <v>0.33075779944577799</v>
      </c>
      <c r="G23">
        <v>404.031475701641</v>
      </c>
    </row>
    <row r="24" spans="1:7" x14ac:dyDescent="0.3">
      <c r="A24" t="s">
        <v>54</v>
      </c>
      <c r="B24">
        <v>95784.187426504504</v>
      </c>
      <c r="C24">
        <v>95784.187426504504</v>
      </c>
      <c r="D24">
        <v>1</v>
      </c>
      <c r="E24" t="s">
        <v>32</v>
      </c>
      <c r="F24">
        <v>0.45255709569154201</v>
      </c>
      <c r="G24">
        <v>41002.388102035497</v>
      </c>
    </row>
    <row r="25" spans="1:7" x14ac:dyDescent="0.3">
      <c r="A25" t="s">
        <v>55</v>
      </c>
      <c r="B25">
        <v>6911.4230157243701</v>
      </c>
      <c r="C25">
        <v>6910.5787619864204</v>
      </c>
      <c r="D25">
        <v>1.0001221683113699</v>
      </c>
      <c r="E25" t="s">
        <v>32</v>
      </c>
      <c r="F25">
        <v>0.39421831233640098</v>
      </c>
      <c r="G25">
        <v>2138.4095444792501</v>
      </c>
    </row>
    <row r="26" spans="1:7" x14ac:dyDescent="0.3">
      <c r="A26" t="s">
        <v>56</v>
      </c>
      <c r="B26">
        <v>6754.8662778235903</v>
      </c>
      <c r="C26">
        <v>6754.6579154040901</v>
      </c>
      <c r="D26">
        <v>1.00003084722011</v>
      </c>
      <c r="E26" t="s">
        <v>32</v>
      </c>
      <c r="F26">
        <v>0.34605790511831902</v>
      </c>
      <c r="G26">
        <v>2170.4280008906499</v>
      </c>
    </row>
    <row r="27" spans="1:7" x14ac:dyDescent="0.3">
      <c r="A27" t="s">
        <v>57</v>
      </c>
      <c r="B27">
        <v>32322.772995517</v>
      </c>
      <c r="C27">
        <v>32322.772995517</v>
      </c>
      <c r="D27">
        <v>1</v>
      </c>
      <c r="E27" t="s">
        <v>32</v>
      </c>
      <c r="F27">
        <v>0.29669760633366699</v>
      </c>
      <c r="G27">
        <v>9488.1414580362198</v>
      </c>
    </row>
    <row r="28" spans="1:7" x14ac:dyDescent="0.3">
      <c r="A28" t="s">
        <v>58</v>
      </c>
      <c r="B28">
        <v>0</v>
      </c>
      <c r="C28">
        <v>0</v>
      </c>
      <c r="E28" t="s">
        <v>32</v>
      </c>
      <c r="G28">
        <v>0</v>
      </c>
    </row>
    <row r="29" spans="1:7" x14ac:dyDescent="0.3">
      <c r="A29" t="s">
        <v>59</v>
      </c>
      <c r="B29">
        <v>133124.307914918</v>
      </c>
      <c r="C29">
        <v>133122.819231909</v>
      </c>
      <c r="D29">
        <v>1.0000111827785501</v>
      </c>
      <c r="E29" t="s">
        <v>32</v>
      </c>
      <c r="F29">
        <v>0.45804196055510299</v>
      </c>
      <c r="G29">
        <v>59274.434227325597</v>
      </c>
    </row>
    <row r="30" spans="1:7" x14ac:dyDescent="0.3">
      <c r="A30" t="s">
        <v>60</v>
      </c>
      <c r="B30">
        <v>38641.278228779898</v>
      </c>
      <c r="C30">
        <v>38641.278228779898</v>
      </c>
      <c r="D30">
        <v>1</v>
      </c>
      <c r="E30" t="s">
        <v>32</v>
      </c>
      <c r="F30">
        <v>0.51966394060060495</v>
      </c>
      <c r="G30">
        <v>19762.5413863172</v>
      </c>
    </row>
    <row r="31" spans="1:7" x14ac:dyDescent="0.3">
      <c r="A31" t="s">
        <v>61</v>
      </c>
      <c r="B31">
        <v>208610.77573902599</v>
      </c>
      <c r="C31">
        <v>208609.33496065601</v>
      </c>
      <c r="D31">
        <v>1.00000690658627</v>
      </c>
      <c r="E31" t="s">
        <v>32</v>
      </c>
      <c r="F31">
        <v>0.44293489014889298</v>
      </c>
      <c r="G31">
        <v>88528.990785495</v>
      </c>
    </row>
    <row r="32" spans="1:7" x14ac:dyDescent="0.3">
      <c r="A32" t="s">
        <v>62</v>
      </c>
      <c r="B32">
        <v>83466.851068560805</v>
      </c>
      <c r="C32">
        <v>83460.111441879199</v>
      </c>
      <c r="D32">
        <v>1.0000807526681299</v>
      </c>
      <c r="E32" t="s">
        <v>32</v>
      </c>
      <c r="F32">
        <v>0.39803669910127498</v>
      </c>
      <c r="G32">
        <v>29371.366605710999</v>
      </c>
    </row>
    <row r="33" spans="1:7" x14ac:dyDescent="0.3">
      <c r="A33" t="s">
        <v>63</v>
      </c>
      <c r="B33">
        <v>0</v>
      </c>
      <c r="C33">
        <v>0</v>
      </c>
      <c r="E33" t="s">
        <v>32</v>
      </c>
      <c r="G33">
        <v>0</v>
      </c>
    </row>
    <row r="34" spans="1:7" x14ac:dyDescent="0.3">
      <c r="A34" t="s">
        <v>64</v>
      </c>
      <c r="B34">
        <v>0</v>
      </c>
      <c r="C34">
        <v>0</v>
      </c>
      <c r="E34" t="s">
        <v>32</v>
      </c>
      <c r="G34">
        <v>0</v>
      </c>
    </row>
    <row r="35" spans="1:7" x14ac:dyDescent="0.3">
      <c r="A35" t="s">
        <v>65</v>
      </c>
      <c r="B35">
        <v>0</v>
      </c>
      <c r="C35">
        <v>0</v>
      </c>
      <c r="E35" t="s">
        <v>32</v>
      </c>
      <c r="G35">
        <v>0</v>
      </c>
    </row>
    <row r="36" spans="1:7" x14ac:dyDescent="0.3">
      <c r="A36" t="s">
        <v>66</v>
      </c>
      <c r="B36">
        <v>17240.177225421201</v>
      </c>
      <c r="C36">
        <v>17234.605998872099</v>
      </c>
      <c r="D36">
        <v>1.0003232581324699</v>
      </c>
      <c r="E36" t="s">
        <v>32</v>
      </c>
      <c r="F36">
        <v>0.37206783745278399</v>
      </c>
      <c r="G36">
        <v>4509.4989173984004</v>
      </c>
    </row>
    <row r="37" spans="1:7" x14ac:dyDescent="0.3">
      <c r="A37" t="s">
        <v>67</v>
      </c>
      <c r="B37">
        <v>15435.795051434099</v>
      </c>
      <c r="C37">
        <v>15427.1241319741</v>
      </c>
      <c r="D37">
        <v>1.0005620567635201</v>
      </c>
      <c r="E37" t="s">
        <v>32</v>
      </c>
      <c r="F37">
        <v>0.34806881297498499</v>
      </c>
      <c r="G37">
        <v>4122.9280725727003</v>
      </c>
    </row>
    <row r="38" spans="1:7" x14ac:dyDescent="0.3">
      <c r="A38" t="s">
        <v>68</v>
      </c>
      <c r="B38">
        <v>41720.940425937501</v>
      </c>
      <c r="C38">
        <v>41709.046480548503</v>
      </c>
      <c r="D38">
        <v>1.0002851646439399</v>
      </c>
      <c r="E38" t="s">
        <v>32</v>
      </c>
      <c r="F38">
        <v>0.489433026269811</v>
      </c>
      <c r="G38">
        <v>18846.174301371899</v>
      </c>
    </row>
    <row r="39" spans="1:7" x14ac:dyDescent="0.3">
      <c r="A39" t="s">
        <v>69</v>
      </c>
      <c r="B39">
        <v>0</v>
      </c>
      <c r="C39">
        <v>0</v>
      </c>
      <c r="E39" t="s">
        <v>32</v>
      </c>
      <c r="G39">
        <v>0</v>
      </c>
    </row>
    <row r="40" spans="1:7" x14ac:dyDescent="0.3">
      <c r="A40" t="s">
        <v>70</v>
      </c>
      <c r="B40">
        <v>0</v>
      </c>
      <c r="C40">
        <v>0</v>
      </c>
      <c r="E40" t="s">
        <v>32</v>
      </c>
      <c r="G40">
        <v>0</v>
      </c>
    </row>
    <row r="41" spans="1:7" x14ac:dyDescent="0.3">
      <c r="A41" t="s">
        <v>71</v>
      </c>
      <c r="B41">
        <v>0</v>
      </c>
      <c r="C41">
        <v>0</v>
      </c>
      <c r="E41" t="s">
        <v>32</v>
      </c>
      <c r="G41">
        <v>0</v>
      </c>
    </row>
    <row r="42" spans="1:7" x14ac:dyDescent="0.3">
      <c r="A42" t="s">
        <v>72</v>
      </c>
      <c r="B42">
        <v>93608.401534976496</v>
      </c>
      <c r="C42">
        <v>93568.394109482295</v>
      </c>
      <c r="D42">
        <v>1.0004275741384101</v>
      </c>
      <c r="E42" t="s">
        <v>32</v>
      </c>
      <c r="F42">
        <v>0.44401973690993402</v>
      </c>
      <c r="G42">
        <v>33354.4886150518</v>
      </c>
    </row>
    <row r="43" spans="1:7" x14ac:dyDescent="0.3">
      <c r="A43" t="s">
        <v>73</v>
      </c>
      <c r="B43">
        <v>61284.927193119103</v>
      </c>
      <c r="C43">
        <v>61284.927193119103</v>
      </c>
      <c r="D43">
        <v>1</v>
      </c>
      <c r="E43" t="s">
        <v>32</v>
      </c>
      <c r="F43">
        <v>0.39394828254004299</v>
      </c>
      <c r="G43">
        <v>23929.300224261398</v>
      </c>
    </row>
    <row r="44" spans="1:7" x14ac:dyDescent="0.3">
      <c r="A44" t="s">
        <v>74</v>
      </c>
      <c r="B44">
        <v>42258.231866865797</v>
      </c>
      <c r="C44">
        <v>42258.231866865797</v>
      </c>
      <c r="D44">
        <v>1</v>
      </c>
      <c r="E44" t="s">
        <v>32</v>
      </c>
      <c r="F44">
        <v>0.45261695054491802</v>
      </c>
      <c r="G44">
        <v>19062.650740089201</v>
      </c>
    </row>
    <row r="45" spans="1:7" x14ac:dyDescent="0.3">
      <c r="A45" t="s">
        <v>75</v>
      </c>
      <c r="B45">
        <v>19795.869936405201</v>
      </c>
      <c r="C45">
        <v>19795.5469829299</v>
      </c>
      <c r="D45">
        <v>1.0000163144506899</v>
      </c>
      <c r="E45" t="s">
        <v>32</v>
      </c>
      <c r="F45">
        <v>0.43865010313102698</v>
      </c>
      <c r="G45">
        <v>8585.2985418186909</v>
      </c>
    </row>
    <row r="46" spans="1:7" x14ac:dyDescent="0.3">
      <c r="A46" t="s">
        <v>76</v>
      </c>
      <c r="B46">
        <v>28649.4640436556</v>
      </c>
      <c r="C46">
        <v>28634.7734414142</v>
      </c>
      <c r="D46">
        <v>1.0005130336467101</v>
      </c>
      <c r="E46" t="s">
        <v>32</v>
      </c>
      <c r="F46">
        <v>0.49094866932268699</v>
      </c>
      <c r="G46">
        <v>13793.984424463701</v>
      </c>
    </row>
    <row r="47" spans="1:7" x14ac:dyDescent="0.3">
      <c r="A47" t="s">
        <v>77</v>
      </c>
      <c r="B47">
        <v>61043.152467674001</v>
      </c>
      <c r="C47">
        <v>61020.7448836689</v>
      </c>
      <c r="D47">
        <v>1.0003672125610299</v>
      </c>
      <c r="E47" t="s">
        <v>32</v>
      </c>
      <c r="F47">
        <v>0.44175684704613299</v>
      </c>
      <c r="G47">
        <v>26676.874006100901</v>
      </c>
    </row>
    <row r="48" spans="1:7" x14ac:dyDescent="0.3">
      <c r="A48" t="s">
        <v>78</v>
      </c>
      <c r="B48">
        <v>15546.7362944122</v>
      </c>
      <c r="C48">
        <v>15536.2761475845</v>
      </c>
      <c r="D48">
        <v>1.00067327245785</v>
      </c>
      <c r="E48" t="s">
        <v>32</v>
      </c>
      <c r="F48">
        <v>0.415939824803358</v>
      </c>
      <c r="G48">
        <v>6215.8028897385902</v>
      </c>
    </row>
    <row r="49" spans="1:7" x14ac:dyDescent="0.3">
      <c r="A49" t="s">
        <v>79</v>
      </c>
      <c r="B49">
        <v>33812.003806060799</v>
      </c>
      <c r="C49">
        <v>33798.098678759197</v>
      </c>
      <c r="D49">
        <v>1.00041141744196</v>
      </c>
      <c r="E49" t="s">
        <v>32</v>
      </c>
      <c r="F49">
        <v>0.51116567735329299</v>
      </c>
      <c r="G49">
        <v>17186.577894486501</v>
      </c>
    </row>
    <row r="50" spans="1:7" x14ac:dyDescent="0.3">
      <c r="A50" t="s">
        <v>80</v>
      </c>
      <c r="B50">
        <v>1303.1865900667799</v>
      </c>
      <c r="C50">
        <v>1302.22834095701</v>
      </c>
      <c r="D50">
        <v>1.00073585336736</v>
      </c>
      <c r="E50" t="s">
        <v>32</v>
      </c>
      <c r="F50">
        <v>0.63300651384930595</v>
      </c>
      <c r="G50">
        <v>813.69883193102805</v>
      </c>
    </row>
    <row r="51" spans="1:7" x14ac:dyDescent="0.3">
      <c r="A51" t="s">
        <v>81</v>
      </c>
      <c r="B51">
        <v>6996.95977767562</v>
      </c>
      <c r="C51">
        <v>6989.9605592599</v>
      </c>
      <c r="D51">
        <v>1.0010013244504501</v>
      </c>
      <c r="E51" t="s">
        <v>32</v>
      </c>
      <c r="F51">
        <v>0.45566368305583599</v>
      </c>
      <c r="G51">
        <v>3091.3635456340198</v>
      </c>
    </row>
    <row r="52" spans="1:7" x14ac:dyDescent="0.3">
      <c r="A52" t="s">
        <v>82</v>
      </c>
      <c r="B52">
        <v>10483.0222136467</v>
      </c>
      <c r="C52">
        <v>10478.323982099801</v>
      </c>
      <c r="D52">
        <v>1.00044837624365</v>
      </c>
      <c r="E52" t="s">
        <v>32</v>
      </c>
      <c r="F52">
        <v>0.43521353384037698</v>
      </c>
      <c r="G52">
        <v>4493.4198263569497</v>
      </c>
    </row>
    <row r="53" spans="1:7" x14ac:dyDescent="0.3">
      <c r="A53" t="s">
        <v>83</v>
      </c>
      <c r="B53">
        <v>25023.356208887599</v>
      </c>
      <c r="C53">
        <v>25018.333583855499</v>
      </c>
      <c r="D53">
        <v>1.0002007577769001</v>
      </c>
      <c r="E53" t="s">
        <v>32</v>
      </c>
      <c r="F53">
        <v>0.42185147798464201</v>
      </c>
      <c r="G53">
        <v>9687.4974437077108</v>
      </c>
    </row>
    <row r="54" spans="1:7" x14ac:dyDescent="0.3">
      <c r="A54" t="s">
        <v>84</v>
      </c>
      <c r="B54">
        <v>29557.796067108298</v>
      </c>
      <c r="C54">
        <v>29553.419466664702</v>
      </c>
      <c r="D54">
        <v>1.00014809116922</v>
      </c>
      <c r="E54" t="s">
        <v>32</v>
      </c>
      <c r="F54">
        <v>0.44370889783058098</v>
      </c>
      <c r="G54">
        <v>13087.180543095301</v>
      </c>
    </row>
    <row r="55" spans="1:7" x14ac:dyDescent="0.3">
      <c r="A55" t="s">
        <v>85</v>
      </c>
      <c r="B55">
        <v>74262.063289792597</v>
      </c>
      <c r="C55">
        <v>74258.907336897202</v>
      </c>
      <c r="D55">
        <v>1.0000424993177</v>
      </c>
      <c r="E55" t="s">
        <v>32</v>
      </c>
      <c r="F55">
        <v>0.493193578766219</v>
      </c>
      <c r="G55">
        <v>36196.800251997804</v>
      </c>
    </row>
    <row r="56" spans="1:7" x14ac:dyDescent="0.3">
      <c r="A56" t="s">
        <v>86</v>
      </c>
      <c r="B56">
        <v>77069.906620231093</v>
      </c>
      <c r="C56">
        <v>77063.979903039202</v>
      </c>
      <c r="D56">
        <v>1.00007690645096</v>
      </c>
      <c r="E56" t="s">
        <v>32</v>
      </c>
      <c r="F56">
        <v>0.44137862077153001</v>
      </c>
      <c r="G56">
        <v>30371.273785704401</v>
      </c>
    </row>
    <row r="57" spans="1:7" x14ac:dyDescent="0.3">
      <c r="A57" t="s">
        <v>87</v>
      </c>
      <c r="B57">
        <v>1575.3228428539001</v>
      </c>
      <c r="C57">
        <v>1574.39399647443</v>
      </c>
      <c r="D57">
        <v>1.00058997073258</v>
      </c>
      <c r="E57" t="s">
        <v>32</v>
      </c>
      <c r="F57">
        <v>0.38141841309565699</v>
      </c>
      <c r="G57">
        <v>517.97075415707502</v>
      </c>
    </row>
    <row r="58" spans="1:7" x14ac:dyDescent="0.3">
      <c r="A58" t="s">
        <v>88</v>
      </c>
      <c r="B58">
        <v>0</v>
      </c>
      <c r="C58">
        <v>0</v>
      </c>
      <c r="E58" t="s">
        <v>32</v>
      </c>
      <c r="G58">
        <v>0</v>
      </c>
    </row>
    <row r="59" spans="1:7" x14ac:dyDescent="0.3">
      <c r="A59" t="s">
        <v>89</v>
      </c>
      <c r="B59">
        <v>13914.012859680801</v>
      </c>
      <c r="C59">
        <v>13909.922107452299</v>
      </c>
      <c r="D59">
        <v>1.0002940887948</v>
      </c>
      <c r="E59" t="s">
        <v>32</v>
      </c>
      <c r="F59">
        <v>0.36030121600989101</v>
      </c>
      <c r="G59">
        <v>3640.11393006344</v>
      </c>
    </row>
    <row r="60" spans="1:7" x14ac:dyDescent="0.3">
      <c r="A60" t="s">
        <v>90</v>
      </c>
      <c r="B60">
        <v>51906.608634690601</v>
      </c>
      <c r="C60">
        <v>51906.333666731203</v>
      </c>
      <c r="D60">
        <v>1.0000052973874201</v>
      </c>
      <c r="E60" t="s">
        <v>32</v>
      </c>
      <c r="F60">
        <v>0.413345008747802</v>
      </c>
      <c r="G60">
        <v>17706.315912089402</v>
      </c>
    </row>
    <row r="61" spans="1:7" x14ac:dyDescent="0.3">
      <c r="A61" t="s">
        <v>91</v>
      </c>
      <c r="B61">
        <v>45493.008085766902</v>
      </c>
      <c r="C61">
        <v>45493.008085766902</v>
      </c>
      <c r="D61">
        <v>1</v>
      </c>
      <c r="E61" t="s">
        <v>32</v>
      </c>
      <c r="F61">
        <v>0.33923011403073</v>
      </c>
      <c r="G61">
        <v>13480.682806884501</v>
      </c>
    </row>
    <row r="62" spans="1:7" x14ac:dyDescent="0.3">
      <c r="A62" t="s">
        <v>92</v>
      </c>
      <c r="B62">
        <v>124908.457329126</v>
      </c>
      <c r="C62">
        <v>124906.397790744</v>
      </c>
      <c r="D62">
        <v>1.0000164886540499</v>
      </c>
      <c r="E62" t="s">
        <v>32</v>
      </c>
      <c r="F62">
        <v>0.42925997040953201</v>
      </c>
      <c r="G62">
        <v>44911.116138590602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A617-B5D6-4E15-A62D-007B624EDDAF}">
  <dimension ref="A1:G62"/>
  <sheetViews>
    <sheetView workbookViewId="0">
      <selection activeCell="J18" sqref="J18"/>
    </sheetView>
  </sheetViews>
  <sheetFormatPr defaultRowHeight="14.4" x14ac:dyDescent="0.3"/>
  <sheetData>
    <row r="1" spans="1:7" x14ac:dyDescent="0.3">
      <c r="A1" t="s">
        <v>26</v>
      </c>
      <c r="B1" t="s">
        <v>24</v>
      </c>
      <c r="C1" t="s">
        <v>25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 t="s">
        <v>31</v>
      </c>
      <c r="B2">
        <v>74931.058469610405</v>
      </c>
      <c r="C2">
        <v>74881.614983686304</v>
      </c>
      <c r="D2">
        <v>1.0006602887228699</v>
      </c>
      <c r="E2" t="s">
        <v>32</v>
      </c>
      <c r="F2">
        <v>0.34008821453744797</v>
      </c>
      <c r="G2">
        <v>21175.310785852798</v>
      </c>
    </row>
    <row r="3" spans="1:7" x14ac:dyDescent="0.3">
      <c r="A3" t="s">
        <v>33</v>
      </c>
      <c r="B3">
        <v>19861.041779200801</v>
      </c>
      <c r="C3">
        <v>19798.968711109101</v>
      </c>
      <c r="D3">
        <v>1.0031351667350701</v>
      </c>
      <c r="E3" t="s">
        <v>32</v>
      </c>
      <c r="F3">
        <v>0.50719461049722603</v>
      </c>
      <c r="G3">
        <v>9948.0962117615709</v>
      </c>
    </row>
    <row r="4" spans="1:7" x14ac:dyDescent="0.3">
      <c r="A4" t="s">
        <v>34</v>
      </c>
      <c r="B4">
        <v>78774.760772396199</v>
      </c>
      <c r="C4">
        <v>78568.626545367602</v>
      </c>
      <c r="D4">
        <v>1.00262362008975</v>
      </c>
      <c r="E4" t="s">
        <v>32</v>
      </c>
      <c r="F4">
        <v>0.47926254822870701</v>
      </c>
      <c r="G4">
        <v>36089.761436241199</v>
      </c>
    </row>
    <row r="5" spans="1:7" x14ac:dyDescent="0.3">
      <c r="A5" t="s">
        <v>35</v>
      </c>
      <c r="B5">
        <v>69080.800689904398</v>
      </c>
      <c r="C5">
        <v>68877.801345099593</v>
      </c>
      <c r="D5">
        <v>1.0029472390355101</v>
      </c>
      <c r="E5" t="s">
        <v>32</v>
      </c>
      <c r="F5">
        <v>0.36664542350293</v>
      </c>
      <c r="G5">
        <v>23904.8901088169</v>
      </c>
    </row>
    <row r="6" spans="1:7" x14ac:dyDescent="0.3">
      <c r="A6" t="s">
        <v>36</v>
      </c>
      <c r="B6">
        <v>50000.020355930399</v>
      </c>
      <c r="C6">
        <v>49965.163045053698</v>
      </c>
      <c r="D6">
        <v>1.0006976322852199</v>
      </c>
      <c r="E6" t="s">
        <v>32</v>
      </c>
      <c r="F6">
        <v>0.36102378745390901</v>
      </c>
      <c r="G6">
        <v>15888.472669270701</v>
      </c>
    </row>
    <row r="7" spans="1:7" x14ac:dyDescent="0.3">
      <c r="A7" t="s">
        <v>37</v>
      </c>
      <c r="B7">
        <v>102237.401919351</v>
      </c>
      <c r="C7">
        <v>102072.665364976</v>
      </c>
      <c r="D7">
        <v>1.00161391449695</v>
      </c>
      <c r="E7" t="s">
        <v>32</v>
      </c>
      <c r="F7">
        <v>0.41592914338977899</v>
      </c>
      <c r="G7">
        <v>36844.115065589504</v>
      </c>
    </row>
    <row r="8" spans="1:7" x14ac:dyDescent="0.3">
      <c r="A8" t="s">
        <v>38</v>
      </c>
      <c r="B8">
        <v>186243.97026783301</v>
      </c>
      <c r="C8">
        <v>185880.80637742899</v>
      </c>
      <c r="D8">
        <v>1.0019537460455401</v>
      </c>
      <c r="E8" t="s">
        <v>32</v>
      </c>
      <c r="F8">
        <v>0.36472153835974502</v>
      </c>
      <c r="G8">
        <v>58547.311427655601</v>
      </c>
    </row>
    <row r="9" spans="1:7" x14ac:dyDescent="0.3">
      <c r="A9" t="s">
        <v>39</v>
      </c>
      <c r="B9">
        <v>9043.6819788545508</v>
      </c>
      <c r="C9">
        <v>9008.4235503450509</v>
      </c>
      <c r="D9">
        <v>1.0039139399154999</v>
      </c>
      <c r="E9" t="s">
        <v>32</v>
      </c>
      <c r="F9">
        <v>0.52065069958582899</v>
      </c>
      <c r="G9">
        <v>4650.9149730418403</v>
      </c>
    </row>
    <row r="10" spans="1:7" x14ac:dyDescent="0.3">
      <c r="A10" t="s">
        <v>40</v>
      </c>
      <c r="B10">
        <v>8930.8705566076096</v>
      </c>
      <c r="C10">
        <v>8849.3448256835909</v>
      </c>
      <c r="D10">
        <v>1.0092126290171599</v>
      </c>
      <c r="E10" t="s">
        <v>32</v>
      </c>
      <c r="F10">
        <v>0.57731421649411696</v>
      </c>
      <c r="G10">
        <v>5058.49114534399</v>
      </c>
    </row>
    <row r="11" spans="1:7" x14ac:dyDescent="0.3">
      <c r="A11" t="s">
        <v>41</v>
      </c>
      <c r="B11">
        <v>250056.58452560101</v>
      </c>
      <c r="C11">
        <v>248994.597415959</v>
      </c>
      <c r="D11">
        <v>1.00426510101288</v>
      </c>
      <c r="E11" t="s">
        <v>32</v>
      </c>
      <c r="F11">
        <v>0.42395552033920397</v>
      </c>
      <c r="G11">
        <v>100637.423385844</v>
      </c>
    </row>
    <row r="12" spans="1:7" x14ac:dyDescent="0.3">
      <c r="A12" t="s">
        <v>42</v>
      </c>
      <c r="B12">
        <v>2096.2003240205199</v>
      </c>
      <c r="C12">
        <v>2094.47808877126</v>
      </c>
      <c r="D12">
        <v>1.00082227417823</v>
      </c>
      <c r="E12" t="s">
        <v>32</v>
      </c>
      <c r="F12">
        <v>0.55141505078187103</v>
      </c>
      <c r="G12">
        <v>1154.03766356081</v>
      </c>
    </row>
    <row r="13" spans="1:7" x14ac:dyDescent="0.3">
      <c r="A13" t="s">
        <v>43</v>
      </c>
      <c r="B13">
        <v>2615.6137843834999</v>
      </c>
      <c r="C13">
        <v>2612.1876621542101</v>
      </c>
      <c r="D13">
        <v>1.0013115911536199</v>
      </c>
      <c r="E13" t="s">
        <v>32</v>
      </c>
      <c r="F13">
        <v>0.41854737290941602</v>
      </c>
      <c r="G13">
        <v>1081.2151057700401</v>
      </c>
    </row>
    <row r="14" spans="1:7" x14ac:dyDescent="0.3">
      <c r="A14" t="s">
        <v>44</v>
      </c>
      <c r="B14">
        <v>0</v>
      </c>
      <c r="C14">
        <v>0</v>
      </c>
      <c r="E14" t="s">
        <v>32</v>
      </c>
      <c r="G14">
        <v>0</v>
      </c>
    </row>
    <row r="15" spans="1:7" x14ac:dyDescent="0.3">
      <c r="A15" t="s">
        <v>45</v>
      </c>
      <c r="B15">
        <v>38378.3157929605</v>
      </c>
      <c r="C15">
        <v>38323.456924582097</v>
      </c>
      <c r="D15">
        <v>1.0014314697258699</v>
      </c>
      <c r="E15" t="s">
        <v>32</v>
      </c>
      <c r="F15">
        <v>0.355754643245494</v>
      </c>
      <c r="G15">
        <v>11925.878451947199</v>
      </c>
    </row>
    <row r="16" spans="1:7" x14ac:dyDescent="0.3">
      <c r="A16" t="s">
        <v>46</v>
      </c>
      <c r="B16">
        <v>133572.47296275801</v>
      </c>
      <c r="C16">
        <v>132963.06554741101</v>
      </c>
      <c r="D16">
        <v>1.0045832834316699</v>
      </c>
      <c r="E16" t="s">
        <v>32</v>
      </c>
      <c r="F16">
        <v>0.39471978419783799</v>
      </c>
      <c r="G16">
        <v>47334.706862014798</v>
      </c>
    </row>
    <row r="17" spans="1:7" x14ac:dyDescent="0.3">
      <c r="A17" t="s">
        <v>47</v>
      </c>
      <c r="B17">
        <v>70275.750209006103</v>
      </c>
      <c r="C17">
        <v>70142.159384590297</v>
      </c>
      <c r="D17">
        <v>1.0019045724509701</v>
      </c>
      <c r="E17" t="s">
        <v>32</v>
      </c>
      <c r="F17">
        <v>0.416727548046674</v>
      </c>
      <c r="G17">
        <v>23611.172465466901</v>
      </c>
    </row>
    <row r="18" spans="1:7" x14ac:dyDescent="0.3">
      <c r="A18" t="s">
        <v>48</v>
      </c>
      <c r="B18">
        <v>0</v>
      </c>
      <c r="C18">
        <v>0</v>
      </c>
      <c r="E18" t="s">
        <v>32</v>
      </c>
      <c r="G18">
        <v>0</v>
      </c>
    </row>
    <row r="19" spans="1:7" x14ac:dyDescent="0.3">
      <c r="A19" t="s">
        <v>49</v>
      </c>
      <c r="B19">
        <v>20176.9199274975</v>
      </c>
      <c r="C19">
        <v>20074.773537048899</v>
      </c>
      <c r="D19">
        <v>1.00508829602785</v>
      </c>
      <c r="E19" t="s">
        <v>32</v>
      </c>
      <c r="F19">
        <v>0.53984251965359897</v>
      </c>
      <c r="G19">
        <v>10421.7167218426</v>
      </c>
    </row>
    <row r="20" spans="1:7" x14ac:dyDescent="0.3">
      <c r="A20" t="s">
        <v>50</v>
      </c>
      <c r="B20">
        <v>48219.526781201203</v>
      </c>
      <c r="C20">
        <v>47958.739851162201</v>
      </c>
      <c r="D20">
        <v>1.0054377352459301</v>
      </c>
      <c r="E20" t="s">
        <v>32</v>
      </c>
      <c r="F20">
        <v>0.45875120364965699</v>
      </c>
      <c r="G20">
        <v>18509.755384851</v>
      </c>
    </row>
    <row r="21" spans="1:7" x14ac:dyDescent="0.3">
      <c r="A21" t="s">
        <v>51</v>
      </c>
      <c r="B21">
        <v>0</v>
      </c>
      <c r="C21">
        <v>0</v>
      </c>
      <c r="E21" t="s">
        <v>32</v>
      </c>
      <c r="G21">
        <v>0</v>
      </c>
    </row>
    <row r="22" spans="1:7" x14ac:dyDescent="0.3">
      <c r="A22" t="s">
        <v>52</v>
      </c>
      <c r="B22">
        <v>0</v>
      </c>
      <c r="C22">
        <v>0</v>
      </c>
      <c r="E22" t="s">
        <v>32</v>
      </c>
      <c r="G22">
        <v>0</v>
      </c>
    </row>
    <row r="23" spans="1:7" x14ac:dyDescent="0.3">
      <c r="A23" t="s">
        <v>53</v>
      </c>
      <c r="B23">
        <v>1762.7534021542699</v>
      </c>
      <c r="C23">
        <v>1760.0372861687299</v>
      </c>
      <c r="D23">
        <v>1.0015432150255399</v>
      </c>
      <c r="E23" t="s">
        <v>32</v>
      </c>
      <c r="F23">
        <v>0.33287199378807403</v>
      </c>
      <c r="G23">
        <v>408.33813585868</v>
      </c>
    </row>
    <row r="24" spans="1:7" x14ac:dyDescent="0.3">
      <c r="A24" t="s">
        <v>54</v>
      </c>
      <c r="B24">
        <v>97522.662002537298</v>
      </c>
      <c r="C24">
        <v>97357.034718018607</v>
      </c>
      <c r="D24">
        <v>1.00170123591991</v>
      </c>
      <c r="E24" t="s">
        <v>32</v>
      </c>
      <c r="F24">
        <v>0.45030642153099698</v>
      </c>
      <c r="G24">
        <v>41709.390986162703</v>
      </c>
    </row>
    <row r="25" spans="1:7" x14ac:dyDescent="0.3">
      <c r="A25" t="s">
        <v>55</v>
      </c>
      <c r="B25">
        <v>7003.6052121089697</v>
      </c>
      <c r="C25">
        <v>6997.5594868456801</v>
      </c>
      <c r="D25">
        <v>1.00086397625838</v>
      </c>
      <c r="E25" t="s">
        <v>32</v>
      </c>
      <c r="F25">
        <v>0.39758380195725901</v>
      </c>
      <c r="G25">
        <v>2178.90715517841</v>
      </c>
    </row>
    <row r="26" spans="1:7" x14ac:dyDescent="0.3">
      <c r="A26" t="s">
        <v>56</v>
      </c>
      <c r="B26">
        <v>6800.24509787635</v>
      </c>
      <c r="C26">
        <v>6798.3732602579103</v>
      </c>
      <c r="D26">
        <v>1.00027533610568</v>
      </c>
      <c r="E26" t="s">
        <v>32</v>
      </c>
      <c r="F26">
        <v>0.34847226535333198</v>
      </c>
      <c r="G26">
        <v>2209.2031851247898</v>
      </c>
    </row>
    <row r="27" spans="1:7" x14ac:dyDescent="0.3">
      <c r="A27" t="s">
        <v>57</v>
      </c>
      <c r="B27">
        <v>32596.554919853999</v>
      </c>
      <c r="C27">
        <v>32550.895172976601</v>
      </c>
      <c r="D27">
        <v>1.0014027186237</v>
      </c>
      <c r="E27" t="s">
        <v>32</v>
      </c>
      <c r="F27">
        <v>0.299211212395318</v>
      </c>
      <c r="G27">
        <v>9644.7562708981295</v>
      </c>
    </row>
    <row r="28" spans="1:7" x14ac:dyDescent="0.3">
      <c r="A28" t="s">
        <v>58</v>
      </c>
      <c r="B28">
        <v>0</v>
      </c>
      <c r="C28">
        <v>0</v>
      </c>
      <c r="E28" t="s">
        <v>32</v>
      </c>
      <c r="G28">
        <v>0</v>
      </c>
    </row>
    <row r="29" spans="1:7" x14ac:dyDescent="0.3">
      <c r="A29" t="s">
        <v>59</v>
      </c>
      <c r="B29">
        <v>134349.50873386499</v>
      </c>
      <c r="C29">
        <v>134207.97707708</v>
      </c>
      <c r="D29">
        <v>1.0010545696304201</v>
      </c>
      <c r="E29" t="s">
        <v>32</v>
      </c>
      <c r="F29">
        <v>0.45840108552146802</v>
      </c>
      <c r="G29">
        <v>59993.070912005402</v>
      </c>
    </row>
    <row r="30" spans="1:7" x14ac:dyDescent="0.3">
      <c r="A30" t="s">
        <v>60</v>
      </c>
      <c r="B30">
        <v>39049.691760675298</v>
      </c>
      <c r="C30">
        <v>38833.804883613397</v>
      </c>
      <c r="D30">
        <v>1.0055592512170499</v>
      </c>
      <c r="E30" t="s">
        <v>32</v>
      </c>
      <c r="F30">
        <v>0.52079013126198903</v>
      </c>
      <c r="G30">
        <v>19966.378508740399</v>
      </c>
    </row>
    <row r="31" spans="1:7" x14ac:dyDescent="0.3">
      <c r="A31" t="s">
        <v>61</v>
      </c>
      <c r="B31">
        <v>210365.94433051199</v>
      </c>
      <c r="C31">
        <v>210004.06433027299</v>
      </c>
      <c r="D31">
        <v>1.00172320474555</v>
      </c>
      <c r="E31" t="s">
        <v>32</v>
      </c>
      <c r="F31">
        <v>0.442681694913451</v>
      </c>
      <c r="G31">
        <v>89486.021634304998</v>
      </c>
    </row>
    <row r="32" spans="1:7" x14ac:dyDescent="0.3">
      <c r="A32" t="s">
        <v>62</v>
      </c>
      <c r="B32">
        <v>84519.431371635801</v>
      </c>
      <c r="C32">
        <v>84087.007583306695</v>
      </c>
      <c r="D32">
        <v>1.0051425755387999</v>
      </c>
      <c r="E32" t="s">
        <v>32</v>
      </c>
      <c r="F32">
        <v>0.39552587496563002</v>
      </c>
      <c r="G32">
        <v>29800.169092392502</v>
      </c>
    </row>
    <row r="33" spans="1:7" x14ac:dyDescent="0.3">
      <c r="A33" t="s">
        <v>63</v>
      </c>
      <c r="B33">
        <v>0</v>
      </c>
      <c r="C33">
        <v>0</v>
      </c>
      <c r="E33" t="s">
        <v>32</v>
      </c>
      <c r="G33">
        <v>0</v>
      </c>
    </row>
    <row r="34" spans="1:7" x14ac:dyDescent="0.3">
      <c r="A34" t="s">
        <v>64</v>
      </c>
      <c r="B34">
        <v>0</v>
      </c>
      <c r="C34">
        <v>0</v>
      </c>
      <c r="E34" t="s">
        <v>32</v>
      </c>
      <c r="G34">
        <v>0</v>
      </c>
    </row>
    <row r="35" spans="1:7" x14ac:dyDescent="0.3">
      <c r="A35" t="s">
        <v>65</v>
      </c>
      <c r="B35">
        <v>0</v>
      </c>
      <c r="C35">
        <v>0</v>
      </c>
      <c r="E35" t="s">
        <v>32</v>
      </c>
      <c r="G35">
        <v>0</v>
      </c>
    </row>
    <row r="36" spans="1:7" x14ac:dyDescent="0.3">
      <c r="A36" t="s">
        <v>66</v>
      </c>
      <c r="B36">
        <v>17345.238196952199</v>
      </c>
      <c r="C36">
        <v>17298.110473061999</v>
      </c>
      <c r="D36">
        <v>1.00272444345661</v>
      </c>
      <c r="E36" t="s">
        <v>32</v>
      </c>
      <c r="F36">
        <v>0.37280586035173802</v>
      </c>
      <c r="G36">
        <v>4544.3415721831298</v>
      </c>
    </row>
    <row r="37" spans="1:7" x14ac:dyDescent="0.3">
      <c r="A37" t="s">
        <v>67</v>
      </c>
      <c r="B37">
        <v>15503.0856542358</v>
      </c>
      <c r="C37">
        <v>15443.806033834</v>
      </c>
      <c r="D37">
        <v>1.00383840746717</v>
      </c>
      <c r="E37" t="s">
        <v>32</v>
      </c>
      <c r="F37">
        <v>0.35012158856757303</v>
      </c>
      <c r="G37">
        <v>4168.1302619173002</v>
      </c>
    </row>
    <row r="38" spans="1:7" x14ac:dyDescent="0.3">
      <c r="A38" t="s">
        <v>68</v>
      </c>
      <c r="B38">
        <v>41981.6241463396</v>
      </c>
      <c r="C38">
        <v>41875.796006872399</v>
      </c>
      <c r="D38">
        <v>1.0025271911117699</v>
      </c>
      <c r="E38" t="s">
        <v>32</v>
      </c>
      <c r="F38">
        <v>0.48833085408139898</v>
      </c>
      <c r="G38">
        <v>18953.0333513351</v>
      </c>
    </row>
    <row r="39" spans="1:7" x14ac:dyDescent="0.3">
      <c r="A39" t="s">
        <v>69</v>
      </c>
      <c r="B39">
        <v>0</v>
      </c>
      <c r="C39">
        <v>0</v>
      </c>
      <c r="E39" t="s">
        <v>32</v>
      </c>
      <c r="G39">
        <v>0</v>
      </c>
    </row>
    <row r="40" spans="1:7" x14ac:dyDescent="0.3">
      <c r="A40" t="s">
        <v>70</v>
      </c>
      <c r="B40">
        <v>0</v>
      </c>
      <c r="C40">
        <v>0</v>
      </c>
      <c r="E40" t="s">
        <v>32</v>
      </c>
      <c r="G40">
        <v>0</v>
      </c>
    </row>
    <row r="41" spans="1:7" x14ac:dyDescent="0.3">
      <c r="A41" t="s">
        <v>71</v>
      </c>
      <c r="B41">
        <v>0</v>
      </c>
      <c r="C41">
        <v>0</v>
      </c>
      <c r="E41" t="s">
        <v>32</v>
      </c>
      <c r="G41">
        <v>0</v>
      </c>
    </row>
    <row r="42" spans="1:7" x14ac:dyDescent="0.3">
      <c r="A42" t="s">
        <v>72</v>
      </c>
      <c r="B42">
        <v>93967.525261593604</v>
      </c>
      <c r="C42">
        <v>93869.189419784801</v>
      </c>
      <c r="D42">
        <v>1.0010475837963</v>
      </c>
      <c r="E42" t="s">
        <v>32</v>
      </c>
      <c r="F42">
        <v>0.44517500564923701</v>
      </c>
      <c r="G42">
        <v>33623.191815107901</v>
      </c>
    </row>
    <row r="43" spans="1:7" x14ac:dyDescent="0.3">
      <c r="A43" t="s">
        <v>73</v>
      </c>
      <c r="B43">
        <v>61725.870005083802</v>
      </c>
      <c r="C43">
        <v>61518.964804737298</v>
      </c>
      <c r="D43">
        <v>1.0033632750649</v>
      </c>
      <c r="E43" t="s">
        <v>32</v>
      </c>
      <c r="F43">
        <v>0.39509394638971601</v>
      </c>
      <c r="G43">
        <v>24140.313142999399</v>
      </c>
    </row>
    <row r="44" spans="1:7" x14ac:dyDescent="0.3">
      <c r="A44" t="s">
        <v>74</v>
      </c>
      <c r="B44">
        <v>42460.981679267097</v>
      </c>
      <c r="C44">
        <v>42388.518176167599</v>
      </c>
      <c r="D44">
        <v>1.00170950781525</v>
      </c>
      <c r="E44" t="s">
        <v>32</v>
      </c>
      <c r="F44">
        <v>0.45345470828808798</v>
      </c>
      <c r="G44">
        <v>19199.517491098799</v>
      </c>
    </row>
    <row r="45" spans="1:7" x14ac:dyDescent="0.3">
      <c r="A45" t="s">
        <v>75</v>
      </c>
      <c r="B45">
        <v>19864.200211720101</v>
      </c>
      <c r="C45">
        <v>19819.793865298001</v>
      </c>
      <c r="D45">
        <v>1.0022405049580201</v>
      </c>
      <c r="E45" t="s">
        <v>32</v>
      </c>
      <c r="F45">
        <v>0.43897467121713801</v>
      </c>
      <c r="G45">
        <v>8620.5793724560499</v>
      </c>
    </row>
    <row r="46" spans="1:7" x14ac:dyDescent="0.3">
      <c r="A46" t="s">
        <v>76</v>
      </c>
      <c r="B46">
        <v>28968.991324305302</v>
      </c>
      <c r="C46">
        <v>28764.663413272501</v>
      </c>
      <c r="D46">
        <v>1.00710343479766</v>
      </c>
      <c r="E46" t="s">
        <v>32</v>
      </c>
      <c r="F46">
        <v>0.49111522365950899</v>
      </c>
      <c r="G46">
        <v>13905.541319222901</v>
      </c>
    </row>
    <row r="47" spans="1:7" x14ac:dyDescent="0.3">
      <c r="A47" t="s">
        <v>77</v>
      </c>
      <c r="B47">
        <v>61574.066700884003</v>
      </c>
      <c r="C47">
        <v>61176.002175253299</v>
      </c>
      <c r="D47">
        <v>1.00650687379816</v>
      </c>
      <c r="E47" t="s">
        <v>32</v>
      </c>
      <c r="F47">
        <v>0.44217481294265698</v>
      </c>
      <c r="G47">
        <v>26867.630538789599</v>
      </c>
    </row>
    <row r="48" spans="1:7" x14ac:dyDescent="0.3">
      <c r="A48" t="s">
        <v>78</v>
      </c>
      <c r="B48">
        <v>15896.385187555101</v>
      </c>
      <c r="C48">
        <v>15647.788203331</v>
      </c>
      <c r="D48">
        <v>1.01588703662101</v>
      </c>
      <c r="E48" t="s">
        <v>32</v>
      </c>
      <c r="F48">
        <v>0.41637418578163599</v>
      </c>
      <c r="G48">
        <v>6318.2980167474998</v>
      </c>
    </row>
    <row r="49" spans="1:7" x14ac:dyDescent="0.3">
      <c r="A49" t="s">
        <v>79</v>
      </c>
      <c r="B49">
        <v>34518.853163427702</v>
      </c>
      <c r="C49">
        <v>33927.604991545901</v>
      </c>
      <c r="D49">
        <v>1.0174267582998899</v>
      </c>
      <c r="E49" t="s">
        <v>32</v>
      </c>
      <c r="F49">
        <v>0.51015667304955203</v>
      </c>
      <c r="G49">
        <v>17291.870195709798</v>
      </c>
    </row>
    <row r="50" spans="1:7" x14ac:dyDescent="0.3">
      <c r="A50" t="s">
        <v>80</v>
      </c>
      <c r="B50">
        <v>1337.6506082973001</v>
      </c>
      <c r="C50">
        <v>1306.2766955161701</v>
      </c>
      <c r="D50">
        <v>1.0240178155890101</v>
      </c>
      <c r="E50" t="s">
        <v>32</v>
      </c>
      <c r="F50">
        <v>0.632139993072665</v>
      </c>
      <c r="G50">
        <v>819.717641045047</v>
      </c>
    </row>
    <row r="51" spans="1:7" x14ac:dyDescent="0.3">
      <c r="A51" t="s">
        <v>81</v>
      </c>
      <c r="B51">
        <v>7243.7916403279996</v>
      </c>
      <c r="C51">
        <v>7014.7913622626202</v>
      </c>
      <c r="D51">
        <v>1.0326453441362899</v>
      </c>
      <c r="E51" t="s">
        <v>32</v>
      </c>
      <c r="F51">
        <v>0.45569648321954198</v>
      </c>
      <c r="G51">
        <v>3125.8922969045302</v>
      </c>
    </row>
    <row r="52" spans="1:7" x14ac:dyDescent="0.3">
      <c r="A52" t="s">
        <v>82</v>
      </c>
      <c r="B52">
        <v>10587.4181771904</v>
      </c>
      <c r="C52">
        <v>10524.928371907699</v>
      </c>
      <c r="D52">
        <v>1.00593731406757</v>
      </c>
      <c r="E52" t="s">
        <v>32</v>
      </c>
      <c r="F52">
        <v>0.43621571983358698</v>
      </c>
      <c r="G52">
        <v>4549.1120824440104</v>
      </c>
    </row>
    <row r="53" spans="1:7" x14ac:dyDescent="0.3">
      <c r="A53" t="s">
        <v>83</v>
      </c>
      <c r="B53">
        <v>25318.4405741306</v>
      </c>
      <c r="C53">
        <v>25176.7736960726</v>
      </c>
      <c r="D53">
        <v>1.00562688769292</v>
      </c>
      <c r="E53" t="s">
        <v>32</v>
      </c>
      <c r="F53">
        <v>0.42007545846213501</v>
      </c>
      <c r="G53">
        <v>9825.2435201980807</v>
      </c>
    </row>
    <row r="54" spans="1:7" x14ac:dyDescent="0.3">
      <c r="A54" t="s">
        <v>84</v>
      </c>
      <c r="B54">
        <v>29709.456495245799</v>
      </c>
      <c r="C54">
        <v>29608.711076707001</v>
      </c>
      <c r="D54">
        <v>1.00340256008705</v>
      </c>
      <c r="E54" t="s">
        <v>32</v>
      </c>
      <c r="F54">
        <v>0.44484776270059501</v>
      </c>
      <c r="G54">
        <v>13153.9906319703</v>
      </c>
    </row>
    <row r="55" spans="1:7" x14ac:dyDescent="0.3">
      <c r="A55" t="s">
        <v>85</v>
      </c>
      <c r="B55">
        <v>74896.003194989593</v>
      </c>
      <c r="C55">
        <v>74563.204263370804</v>
      </c>
      <c r="D55">
        <v>1.0044633131704299</v>
      </c>
      <c r="E55" t="s">
        <v>32</v>
      </c>
      <c r="F55">
        <v>0.49329016809088599</v>
      </c>
      <c r="G55">
        <v>36473.592815872798</v>
      </c>
    </row>
    <row r="56" spans="1:7" x14ac:dyDescent="0.3">
      <c r="A56" t="s">
        <v>86</v>
      </c>
      <c r="B56">
        <v>77830.887050115794</v>
      </c>
      <c r="C56">
        <v>77538.153751797596</v>
      </c>
      <c r="D56">
        <v>1.0037753452223701</v>
      </c>
      <c r="E56" t="s">
        <v>32</v>
      </c>
      <c r="F56">
        <v>0.44137734902812698</v>
      </c>
      <c r="G56">
        <v>30807.6918924116</v>
      </c>
    </row>
    <row r="57" spans="1:7" x14ac:dyDescent="0.3">
      <c r="A57" t="s">
        <v>87</v>
      </c>
      <c r="B57">
        <v>1581.6016897259699</v>
      </c>
      <c r="C57">
        <v>1569.4032844629201</v>
      </c>
      <c r="D57">
        <v>1.00777263905575</v>
      </c>
      <c r="E57" t="s">
        <v>32</v>
      </c>
      <c r="F57">
        <v>0.38081304936677901</v>
      </c>
      <c r="G57">
        <v>521.71916291656305</v>
      </c>
    </row>
    <row r="58" spans="1:7" x14ac:dyDescent="0.3">
      <c r="A58" t="s">
        <v>88</v>
      </c>
      <c r="B58">
        <v>0</v>
      </c>
      <c r="C58">
        <v>0</v>
      </c>
      <c r="E58" t="s">
        <v>32</v>
      </c>
      <c r="G58">
        <v>0</v>
      </c>
    </row>
    <row r="59" spans="1:7" x14ac:dyDescent="0.3">
      <c r="A59" t="s">
        <v>89</v>
      </c>
      <c r="B59">
        <v>14187.503144833299</v>
      </c>
      <c r="C59">
        <v>13993.1213533422</v>
      </c>
      <c r="D59">
        <v>1.01389123888678</v>
      </c>
      <c r="E59" t="s">
        <v>32</v>
      </c>
      <c r="F59">
        <v>0.35830576620003401</v>
      </c>
      <c r="G59">
        <v>3709.3016927306599</v>
      </c>
    </row>
    <row r="60" spans="1:7" x14ac:dyDescent="0.3">
      <c r="A60" t="s">
        <v>90</v>
      </c>
      <c r="B60">
        <v>52339.993683353103</v>
      </c>
      <c r="C60">
        <v>52140.211809097797</v>
      </c>
      <c r="D60">
        <v>1.00383162759266</v>
      </c>
      <c r="E60" t="s">
        <v>32</v>
      </c>
      <c r="F60">
        <v>0.41255226579841903</v>
      </c>
      <c r="G60">
        <v>17963.395331642099</v>
      </c>
    </row>
    <row r="61" spans="1:7" x14ac:dyDescent="0.3">
      <c r="A61" t="s">
        <v>91</v>
      </c>
      <c r="B61">
        <v>45851.870286147801</v>
      </c>
      <c r="C61">
        <v>45712.224068812597</v>
      </c>
      <c r="D61">
        <v>1.0030548987755401</v>
      </c>
      <c r="E61" t="s">
        <v>32</v>
      </c>
      <c r="F61">
        <v>0.34188961394953499</v>
      </c>
      <c r="G61">
        <v>13689.647536885301</v>
      </c>
    </row>
    <row r="62" spans="1:7" x14ac:dyDescent="0.3">
      <c r="A62" t="s">
        <v>92</v>
      </c>
      <c r="B62">
        <v>126495.574625507</v>
      </c>
      <c r="C62">
        <v>125691.779599179</v>
      </c>
      <c r="D62">
        <v>1.0063949689382301</v>
      </c>
      <c r="E62" t="s">
        <v>32</v>
      </c>
      <c r="F62">
        <v>0.42602397934008102</v>
      </c>
      <c r="G62">
        <v>45582.863490235701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Run1</vt:lpstr>
      <vt:lpstr>Run2</vt:lpstr>
      <vt:lpstr>Run3</vt:lpstr>
      <vt:lpstr>Run4</vt:lpstr>
      <vt:lpstr>Run5</vt:lpstr>
      <vt:lpstr>Run6</vt:lpstr>
      <vt:lpstr>Run7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Juffe Bignoli</dc:creator>
  <cp:lastModifiedBy>Diego Juffe Bignoli</cp:lastModifiedBy>
  <dcterms:created xsi:type="dcterms:W3CDTF">2025-09-12T11:23:38Z</dcterms:created>
  <dcterms:modified xsi:type="dcterms:W3CDTF">2025-12-29T08:34:19Z</dcterms:modified>
</cp:coreProperties>
</file>